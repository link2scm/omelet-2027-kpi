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전사_종합요약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search" sheetId="4" state="visible" r:id="rId4"/>
    <sheet xmlns:r="http://schemas.openxmlformats.org/officeDocument/2006/relationships" name="PS" sheetId="5" state="visible" r:id="rId5"/>
    <sheet xmlns:r="http://schemas.openxmlformats.org/officeDocument/2006/relationships" name="BD" sheetId="6" state="visible" r:id="rId6"/>
    <sheet xmlns:r="http://schemas.openxmlformats.org/officeDocument/2006/relationships" name="PB" sheetId="7" state="visible" r:id="rId7"/>
    <sheet xmlns:r="http://schemas.openxmlformats.org/officeDocument/2006/relationships" name="BM" sheetId="8" state="visible" r:id="rId8"/>
    <sheet xmlns:r="http://schemas.openxmlformats.org/officeDocument/2006/relationships" name="등급_배점기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맑은 고딕"/>
      <b val="1"/>
      <color rgb="000563C1"/>
      <sz val="10"/>
      <u val="single"/>
    </font>
    <font>
      <name val="맑은 고딕"/>
      <b val="1"/>
      <color rgb="001B2438"/>
      <sz val="13"/>
    </font>
    <font>
      <name val="맑은 고딕"/>
      <b val="1"/>
      <color rgb="00FFFFFF"/>
      <sz val="10"/>
    </font>
    <font>
      <name val="맑은 고딕"/>
      <b val="1"/>
      <sz val="10"/>
    </font>
    <font>
      <b val="1"/>
      <color rgb="00FFFFFF"/>
    </font>
    <font>
      <name val="맑은 고딕"/>
      <b val="1"/>
      <color rgb="001B2438"/>
      <sz val="10"/>
    </font>
    <font>
      <name val="맑은 고딕"/>
      <i val="1"/>
      <color rgb="001E5FA8"/>
      <sz val="8.5"/>
    </font>
    <font>
      <name val="맑은 고딕"/>
      <b val="1"/>
      <color rgb="00FFFFFF"/>
      <sz val="9"/>
    </font>
    <font>
      <name val="맑은 고딕"/>
      <i val="1"/>
      <color rgb="00555566"/>
      <sz val="8.5"/>
    </font>
    <font>
      <b val="1"/>
    </font>
    <font/>
    <font>
      <name val="맑은 고딕"/>
      <b val="1"/>
      <color rgb="00FFFFFF"/>
      <sz val="16"/>
    </font>
    <font>
      <name val="맑은 고딕"/>
      <color rgb="00FFFFFF"/>
      <sz val="10"/>
    </font>
    <font>
      <name val="맑은 고딕"/>
      <b val="1"/>
      <color rgb="001B2438"/>
      <sz val="22"/>
    </font>
    <font>
      <name val="맑은 고딕"/>
      <b val="1"/>
      <color rgb="001B2438"/>
      <sz val="12"/>
    </font>
    <font>
      <name val="맑은 고딕"/>
      <sz val="10"/>
    </font>
  </fonts>
  <fills count="17">
    <fill>
      <patternFill/>
    </fill>
    <fill>
      <patternFill patternType="gray125"/>
    </fill>
    <fill>
      <patternFill patternType="solid">
        <fgColor rgb="00F3F5FA"/>
      </patternFill>
    </fill>
    <fill>
      <patternFill patternType="solid">
        <fgColor rgb="001E9E77"/>
      </patternFill>
    </fill>
    <fill>
      <patternFill patternType="solid">
        <fgColor rgb="00FFF9DB"/>
      </patternFill>
    </fill>
    <fill>
      <patternFill patternType="solid">
        <fgColor rgb="00EDEFF5"/>
      </patternFill>
    </fill>
    <fill>
      <patternFill patternType="solid">
        <fgColor rgb="00F1F3F5"/>
      </patternFill>
    </fill>
    <fill>
      <patternFill patternType="solid">
        <fgColor rgb="001B2438"/>
      </patternFill>
    </fill>
    <fill>
      <patternFill patternType="solid">
        <fgColor rgb="00B87A1E"/>
      </patternFill>
    </fill>
    <fill>
      <patternFill patternType="solid">
        <fgColor rgb="00DCEFFA"/>
      </patternFill>
    </fill>
    <fill>
      <patternFill patternType="solid">
        <fgColor rgb="00F4F1FA"/>
      </patternFill>
    </fill>
    <fill>
      <patternFill patternType="solid">
        <fgColor rgb="006D4FC4"/>
      </patternFill>
    </fill>
    <fill>
      <patternFill patternType="solid">
        <fgColor rgb="00C7F5E4"/>
      </patternFill>
    </fill>
    <fill>
      <patternFill patternType="solid">
        <fgColor rgb="00DFF7EC"/>
      </patternFill>
    </fill>
    <fill>
      <patternFill patternType="solid">
        <fgColor rgb="00E7E9EF"/>
      </patternFill>
    </fill>
    <fill>
      <patternFill patternType="solid">
        <fgColor rgb="00FCE7C4"/>
      </patternFill>
    </fill>
    <fill>
      <patternFill patternType="solid">
        <fgColor rgb="00FBD3D3"/>
      </patternFill>
    </fill>
  </fills>
  <borders count="7">
    <border>
      <left/>
      <right/>
      <top/>
      <bottom/>
      <diagonal/>
    </border>
    <border>
      <left style="thin">
        <color rgb="00C7CCD6"/>
      </left>
      <right style="thin">
        <color rgb="00C7CCD6"/>
      </right>
      <top style="thin">
        <color rgb="00C7CCD6"/>
      </top>
      <bottom style="thin">
        <color rgb="00C7CCD6"/>
      </bottom>
    </border>
    <border>
      <left/>
      <right/>
      <top style="thin">
        <color rgb="00C7CCD6"/>
      </top>
      <bottom/>
      <diagonal/>
    </border>
    <border>
      <left/>
      <right style="thin">
        <color rgb="00C7CCD6"/>
      </right>
      <top style="thin">
        <color rgb="00C7CCD6"/>
      </top>
      <bottom/>
      <diagonal/>
    </border>
    <border>
      <left/>
      <right/>
      <top style="thin">
        <color rgb="00C7CCD6"/>
      </top>
      <bottom style="thin">
        <color rgb="00C7CCD6"/>
      </bottom>
      <diagonal/>
    </border>
    <border>
      <left/>
      <right style="thin">
        <color rgb="00C7CCD6"/>
      </right>
      <top style="thin">
        <color rgb="00C7CCD6"/>
      </top>
      <bottom style="thin">
        <color rgb="00C7CCD6"/>
      </bottom>
      <diagonal/>
    </border>
    <border/>
  </borders>
  <cellStyleXfs count="1">
    <xf numFmtId="0" fontId="0" fillId="0" borderId="0"/>
  </cellStyleXfs>
  <cellXfs count="70">
    <xf numFmtId="0" fontId="0" fillId="0" borderId="0" pivotButton="0" quotePrefix="0" xfId="0"/>
    <xf numFmtId="0" fontId="1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165" fontId="14" fillId="10" borderId="1" applyAlignment="1" pivotButton="0" quotePrefix="0" xfId="0">
      <alignment horizontal="center" vertical="center" wrapText="1"/>
    </xf>
    <xf numFmtId="1" fontId="14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" fontId="0" fillId="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1" fontId="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1" fontId="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1" fontId="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1" fontId="0" fillId="16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164" fontId="0" fillId="6" borderId="1" applyAlignment="1" pivotButton="0" quotePrefix="0" xfId="0">
      <alignment horizontal="center" vertical="center" wrapText="1"/>
    </xf>
    <xf numFmtId="1" fontId="0" fillId="4" borderId="1" applyAlignment="1" applyProtection="1" pivotButton="0" quotePrefix="0" xfId="0">
      <alignment horizontal="center" vertical="center" wrapText="1"/>
      <protection locked="0" hidden="0"/>
    </xf>
    <xf numFmtId="1" fontId="5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7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C7F5E4"/>
        </patternFill>
      </fill>
    </dxf>
    <dxf>
      <fill>
        <patternFill patternType="solid">
          <fgColor rgb="00DFF7EC"/>
        </patternFill>
      </fill>
    </dxf>
    <dxf>
      <fill>
        <patternFill patternType="solid">
          <fgColor rgb="00E7E9EF"/>
        </patternFill>
      </fill>
    </dxf>
    <dxf>
      <fill>
        <patternFill patternType="solid">
          <fgColor rgb="00FCE7C4"/>
        </patternFill>
      </fill>
    </dxf>
    <dxf>
      <fill>
        <patternFill patternType="solid">
          <fgColor rgb="00FB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팀별 종합점수 평균 (100점 만점)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'Dashboard'!$E$9:$E$13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팀별 결과·개별성과·역량 평균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'Dashboard'!$C$9:$C$13</f>
            </numRef>
          </val>
        </ser>
        <ser>
          <idx val="2"/>
          <order val="2"/>
          <tx>
            <strRef>
              <f>'Dashboard'!D8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'Dashboard'!$D$9:$D$13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전사 등급 분포 (종합등급 기준)</a:t>
            </a:r>
          </a:p>
        </rich>
      </tx>
    </title>
    <plotArea>
      <pieChart>
        <varyColors val="1"/>
        <ser>
          <idx val="0"/>
          <order val="0"/>
          <tx>
            <strRef>
              <f>'Dashboard'!I8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'Dashboard'!$H$9:$H$13</f>
            </numRef>
          </cat>
          <val>
            <numRef>
              <f>'Dashboard'!$I$9:$I$13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팀별 등록 인원 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'Dashboard'!$F$9:$F$13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인원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KPI 가이드</author>
  </authors>
  <commentList>
    <comment ref="C5" authorId="0" shapeId="0">
      <text>
        <t>팀 전체가 공유하는 결과지표입니다. 팀원 개별 실적(C열)을 합산해 팀 실적이 되고, 팀 목표 대비 달성률로 점수·등급이 정해져 팀원 모두에게 동일하게 반영됩니다.
계산 예시: 팀 실적 3건 ÷ 팀 목표 5건 × 50점 = 30.0점</t>
      </text>
    </comment>
  </commentList>
</comments>
</file>

<file path=xl/comments/comment2.xml><?xml version="1.0" encoding="utf-8"?>
<comments xmlns="http://schemas.openxmlformats.org/spreadsheetml/2006/main">
  <authors>
    <author>KPI 가이드</author>
  </authors>
  <commentList>
    <comment ref="C5" authorId="0" shapeId="0">
      <text>
        <t>팀 전체가 공유하는 결과지표입니다. 팀원 개별 실적(C열)을 합산해 팀 실적이 되고, 팀 목표 대비 달성률로 점수·등급이 정해져 팀원 모두에게 동일하게 반영됩니다.
계산 예시: 팀 실적 23건 ÷ 팀 목표 25건 × 50점 = 46.0점</t>
      </text>
    </comment>
  </commentList>
</comments>
</file>

<file path=xl/comments/comment3.xml><?xml version="1.0" encoding="utf-8"?>
<comments xmlns="http://schemas.openxmlformats.org/spreadsheetml/2006/main">
  <authors>
    <author>KPI 가이드</author>
  </authors>
  <commentList>
    <comment ref="C5" authorId="0" shapeId="0">
      <text>
        <t>팀 전체가 공유하는 결과지표입니다. 팀원 개별 실적(C열)을 합산해 팀 실적이 되고, 팀 목표 대비 달성률로 점수·등급이 정해져 팀원 모두에게 동일하게 반영됩니다.
계산 예시: 팀 실적 48건 ÷ 팀 목표 50건 × 50점 = 48.0점</t>
      </text>
    </comment>
  </commentList>
</comments>
</file>

<file path=xl/comments/comment4.xml><?xml version="1.0" encoding="utf-8"?>
<comments xmlns="http://schemas.openxmlformats.org/spreadsheetml/2006/main">
  <authors>
    <author>KPI 가이드</author>
  </authors>
  <commentList>
    <comment ref="C5" authorId="0" shapeId="0">
      <text>
        <t>팀 전체가 공유하는 결과지표입니다. 팀원 개별 실적(C열)을 합산해 팀 실적이 되고, 팀 목표 대비 달성률로 점수·등급이 정해져 팀원 모두에게 동일하게 반영됩니다.
계산 예시: 팀 실적 10건 ÷ 팀 목표 12건 × 50점 = 41.7점</t>
      </text>
    </comment>
  </commentList>
</comments>
</file>

<file path=xl/comments/comment5.xml><?xml version="1.0" encoding="utf-8"?>
<comments xmlns="http://schemas.openxmlformats.org/spreadsheetml/2006/main">
  <authors>
    <author>KPI 가이드</author>
  </authors>
  <commentList>
    <comment ref="C5" authorId="0" shapeId="0">
      <text>
        <t>팀 전체가 공유하는 결과지표입니다. 팀원 개별 실적(C열)을 합산해 팀 실적이 되고, 팀 목표 대비 달성률로 점수·등급이 정해져 팀원 모두에게 동일하게 반영됩니다.
계산 예시: 팀 실적 18건 ÷ 팀 목표 20건 × 50점 = 45.0점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14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32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51204;&#49324;_&#51333;&#54633;&#50836;&#50557;!A1" TargetMode="External" Id="rId1"/><Relationship Type="http://schemas.openxmlformats.org/officeDocument/2006/relationships/hyperlink" Target="#Dashboard!A1" TargetMode="External" Id="rId2"/><Relationship Type="http://schemas.openxmlformats.org/officeDocument/2006/relationships/hyperlink" Target="#Research!A1" TargetMode="External" Id="rId3"/><Relationship Type="http://schemas.openxmlformats.org/officeDocument/2006/relationships/hyperlink" Target="#PS!A1" TargetMode="External" Id="rId4"/><Relationship Type="http://schemas.openxmlformats.org/officeDocument/2006/relationships/hyperlink" Target="#BD!A1" TargetMode="External" Id="rId5"/><Relationship Type="http://schemas.openxmlformats.org/officeDocument/2006/relationships/hyperlink" Target="#PB!A1" TargetMode="External" Id="rId6"/><Relationship Type="http://schemas.openxmlformats.org/officeDocument/2006/relationships/hyperlink" Target="#BM!A1" TargetMode="External" Id="rId7"/><Relationship Type="http://schemas.openxmlformats.org/officeDocument/2006/relationships/hyperlink" Target="#&#46321;&#44553;_&#48176;&#51216;&#44592;&#51456;!A1" TargetMode="External" Id="rId8"/><Relationship Type="http://schemas.openxmlformats.org/officeDocument/2006/relationships/hyperlink" Target="#&#46321;&#44553;_&#48176;&#51216;&#44592;&#51456;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Dashboard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drawing" Target="/xl/drawings/drawing1.xml" Id="rId3"/></Relationships>
</file>

<file path=xl/worksheets/_rels/sheet4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&#49324;&#50857;&#50504;&#45236;!A1" TargetMode="External" Id="rId1"/><Relationship Type="http://schemas.openxmlformats.org/officeDocument/2006/relationships/hyperlink" Target="#&#51204;&#49324;_&#51333;&#54633;&#50836;&#50557;!A1" TargetMode="Externa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&#49324;&#50857;&#50504;&#45236;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1" t="inlineStr">
        <is>
          <t>2027 오믈렛 KPI 팀장 관리 워크북 — 사용안내</t>
        </is>
      </c>
    </row>
    <row r="3">
      <c r="A3" s="2" t="inlineStr">
        <is>
          <t>🔗 바로가기</t>
        </is>
      </c>
    </row>
    <row r="4">
      <c r="A4" s="3" t="inlineStr">
        <is>
          <t>📊 전사_종합요약</t>
        </is>
      </c>
      <c r="B4" s="3" t="inlineStr">
        <is>
          <t>📈 Dashboard</t>
        </is>
      </c>
      <c r="C4" s="3" t="inlineStr">
        <is>
          <t>🔬 Research</t>
        </is>
      </c>
      <c r="D4" s="3" t="inlineStr">
        <is>
          <t>🧩 PS</t>
        </is>
      </c>
      <c r="E4" s="3" t="inlineStr">
        <is>
          <t>📈 BD</t>
        </is>
      </c>
      <c r="F4" s="3" t="inlineStr">
        <is>
          <t>🛠 PB</t>
        </is>
      </c>
      <c r="G4" s="3" t="inlineStr">
        <is>
          <t>🏢 BM</t>
        </is>
      </c>
      <c r="H4" s="3" t="inlineStr">
        <is>
          <t>📐 등급·배점기준</t>
        </is>
      </c>
    </row>
    <row r="7">
      <c r="A7" s="4" t="inlineStr">
        <is>
          <t>① 이 워크북의 핵심 로직</t>
        </is>
      </c>
    </row>
    <row r="8" ht="30" customHeight="1">
      <c r="A8" s="5" t="inlineStr">
        <is>
          <t>과정지표 2종(① 성과=정량 5개 + ② 역량=정성 5개)은 결과지표(50점) 달성을 위해 팀이 마땅히 수행해야 할 선행 활동입니다.</t>
        </is>
      </c>
    </row>
    <row r="9"/>
    <row r="10"/>
    <row r="11">
      <c r="A11" s="6" t="inlineStr">
        <is>
          <t>② 왜 각 지표를 5개로 고정했는가</t>
        </is>
      </c>
    </row>
    <row r="12" ht="40" customHeight="1">
      <c r="A12" s="7" t="inlineStr">
        <is>
          <t>초기 스타트업 단계에서 KPI가 성공적으로 정착하려면 관리 포인트가 단순해야 합니다. 5개를 넘기면 팀장도 팀원도 무엇에 집중해야 할지 흐려지므로, 개별성과·역량평가 모두 각 5개 항목으로 고정합니다.</t>
        </is>
      </c>
    </row>
    <row r="13"/>
    <row r="14"/>
    <row r="15">
      <c r="A15" s="8" t="inlineStr">
        <is>
          <t>③ Research·PS 고정 항목 안내 (대표이사 원칙)</t>
        </is>
      </c>
    </row>
    <row r="16" ht="46" customHeight="1">
      <c r="A16" s="9" t="inlineStr">
        <is>
          <t>"PS는 고객의 문제 해결에 책임지고, Research는 Omelet의 문제 해결 능력을 발전시키는 데 책임진다."
이 원칙에 따라 Research·PS 개별성과 5개 항목 중 1~2번은 대표이사 원칙을 반영해 고정했습니다(하늘색 셀, 수정 불가). 3~5번 및 BD/PB/BM의 5개 항목은 전부 팀장이 직접 설정합니다(노란 셀).</t>
        </is>
      </c>
    </row>
    <row r="17"/>
    <row r="18"/>
    <row r="19">
      <c r="A19" s="10" t="inlineStr">
        <is>
          <t>팀</t>
        </is>
      </c>
      <c r="B19" s="10" t="inlineStr">
        <is>
          <t>번호</t>
        </is>
      </c>
      <c r="C19" s="10" t="inlineStr">
        <is>
          <t>고정 항목명</t>
        </is>
      </c>
      <c r="D19" s="10" t="inlineStr">
        <is>
          <t>측정 지표(건수 기준)</t>
        </is>
      </c>
      <c r="E19" s="11" t="n"/>
      <c r="F19" s="11" t="n"/>
      <c r="G19" s="11" t="n"/>
      <c r="H19" s="12" t="n"/>
    </row>
    <row r="20">
      <c r="A20" s="13" t="inlineStr">
        <is>
          <t>Research</t>
        </is>
      </c>
      <c r="B20" s="14" t="inlineStr">
        <is>
          <t>1</t>
        </is>
      </c>
      <c r="C20" s="15" t="inlineStr">
        <is>
          <t>Capability Gap 발굴 &amp; Technical Advancement</t>
        </is>
      </c>
      <c r="D20" s="15" t="inlineStr">
        <is>
          <t>신규 리서치 문제 정의 건수 + 벤치마크 성능 개선 건수</t>
        </is>
      </c>
    </row>
    <row r="21">
      <c r="A21" s="13" t="inlineStr">
        <is>
          <t>Research</t>
        </is>
      </c>
      <c r="B21" s="14" t="inlineStr">
        <is>
          <t>2</t>
        </is>
      </c>
      <c r="C21" s="15" t="inlineStr">
        <is>
          <t>Rigorous Validation &amp; Transfer/Adoption</t>
        </is>
      </c>
      <c r="D21" s="15" t="inlineStr">
        <is>
          <t>재현 가능한 검증 리포트 건수 + PS/PB/Solver/OCP 이관 완료 건수</t>
        </is>
      </c>
    </row>
    <row r="22">
      <c r="A22" s="13" t="inlineStr">
        <is>
          <t>PS</t>
        </is>
      </c>
      <c r="B22" s="14" t="inlineStr">
        <is>
          <t>1</t>
        </is>
      </c>
      <c r="C22" s="15" t="inlineStr">
        <is>
          <t>Problem Definition &amp; Solution Quality</t>
        </is>
      </c>
      <c r="D22" s="15" t="inlineStr">
        <is>
          <t>고객 문제정의서·솔루션 설계서 작성 및 내부 승인 완료 건수</t>
        </is>
      </c>
    </row>
    <row r="23">
      <c r="A23" s="13" t="inlineStr">
        <is>
          <t>PS</t>
        </is>
      </c>
      <c r="B23" s="14" t="inlineStr">
        <is>
          <t>2</t>
        </is>
      </c>
      <c r="C23" s="15" t="inlineStr">
        <is>
          <t>Business Impact &amp; Adoption</t>
        </is>
      </c>
      <c r="D23" s="15" t="inlineStr">
        <is>
          <t>고객 운영 반영(PoC→정식 도입) 및 성과 측정 보고 완료 건수</t>
        </is>
      </c>
    </row>
    <row r="25">
      <c r="A25" s="2" t="inlineStr">
        <is>
          <t>④ 작성 순서</t>
        </is>
      </c>
    </row>
    <row r="26">
      <c r="A26" s="16" t="inlineStr">
        <is>
          <t>1단계. 위 바로가기에서 본인 팀 시트로 이동합니다. 시트 안에는 ①결과지표 ②개별성과 ③역량평가+종합 표가 위→아래로 있습니다.</t>
        </is>
      </c>
    </row>
    <row r="27">
      <c r="A27" s="16" t="inlineStr">
        <is>
          <t>2단계. ①결과지표 표의 팀리더 행에 이름을 입력하고 팀 목표(연간 건수 등)를 확인·조정합니다. 이 이름은 ②③표에도 자동 반영됩니다.</t>
        </is>
      </c>
    </row>
    <row r="28">
      <c r="A28" s="16" t="inlineStr">
        <is>
          <t>3단계. ②개별성과 표에서 3~5번 항목명을 팀 고유 KPI로 설정하고(Research/PS는 1~2번 고정), 팀원별 목표·실적을 입력합니다.</t>
        </is>
      </c>
    </row>
    <row r="29">
      <c r="A29" s="16" t="inlineStr">
        <is>
          <t>4단계. ③역량평가 표에 팀원별 점수(0~6점)를 입력합니다. 리더 본인의 역량은 상급자가 별도 평가합니다.</t>
        </is>
      </c>
    </row>
    <row r="30">
      <c r="A30" s="16" t="inlineStr">
        <is>
          <t>5단계. 노란 셀만 입력하면 회색 셀(점수·등급·보상)은 자동 계산됩니다. ③표 우측의 종합점수·등급·보상을 확인하고, 전사_종합요약 시트에서 전체 결과를 확인합니다.</t>
        </is>
      </c>
    </row>
    <row r="32">
      <c r="A32" s="2" t="inlineStr">
        <is>
          <t>⑤ 셀 색상 범례</t>
        </is>
      </c>
    </row>
    <row r="33">
      <c r="A33" s="17" t="inlineStr"/>
      <c r="B33" s="18" t="inlineStr">
        <is>
          <t>입력용 (팀장이 직접 채우는 셀)</t>
        </is>
      </c>
    </row>
    <row r="34">
      <c r="A34" s="19" t="inlineStr"/>
      <c r="B34" s="18" t="inlineStr">
        <is>
          <t>자동 계산 수식 — 특별한 사유가 없다면 값을 직접 덮어쓰지 마세요(수식이 사라집니다)</t>
        </is>
      </c>
    </row>
    <row r="35">
      <c r="A35" s="14" t="inlineStr"/>
      <c r="B35" s="18" t="inlineStr">
        <is>
          <t>고정 항목 — 대표이사 원칙 반영 항목. 임의로 바꾸지 말고 변경이 필요하면 관리자와 협의하세요</t>
        </is>
      </c>
    </row>
    <row r="36">
      <c r="A36" s="20" t="inlineStr"/>
      <c r="B36" s="18" t="inlineStr">
        <is>
          <t>팀리더 전용 안내 문구</t>
        </is>
      </c>
    </row>
    <row r="37">
      <c r="A37" s="21" t="inlineStr">
        <is>
          <t>이 버전(version02)은 시트 잠금을 해제해 모든 셀을 자유롭게 수정할 수 있습니다. 다만 회색(자동계산)·하늘색(고정) 셀을 실수로 고치면 수식이 깨지거나 원칙에 어긋날 수 있으니, 위 색상 범례를 참고해 노란 셀 위주로 입력해 주세요.</t>
        </is>
      </c>
    </row>
    <row r="38"/>
    <row r="40">
      <c r="A40" s="6" t="inlineStr">
        <is>
          <t>⑥ 표가 3개로 나뉜 이유</t>
        </is>
      </c>
    </row>
    <row r="41" ht="46" customHeight="1">
      <c r="A41" s="7" t="inlineStr">
        <is>
          <t>결과지표·개별성과·역량평가를 한 표에 가로로 이어붙이면 항목이 많아 옆으로 스크롤하기 어렵습니다. 그래서 지표 그룹별로 표 3개(①②③)를 위→아래로 나누어 배치했습니다. 이름·직책은 ①표에만 입력하면 ②③표에 수식으로 자동 반영되므로 3번 다시 입력할 필요가 없습니다.</t>
        </is>
      </c>
    </row>
    <row r="42"/>
    <row r="43"/>
    <row r="44">
      <c r="A44" s="22" t="inlineStr">
        <is>
          <t>등급 컷오프·보상 매핑 상세는 '등급·배점기준' 시트를 참고하세요 →</t>
        </is>
      </c>
    </row>
    <row r="46">
      <c r="A46" s="23" t="inlineStr">
        <is>
          <t>문의: KPI 거버넌스 담당(553_orchestrator_kpi-governance-agent)</t>
        </is>
      </c>
    </row>
  </sheetData>
  <mergeCells count="29">
    <mergeCell ref="A30:H30"/>
    <mergeCell ref="D20:H20"/>
    <mergeCell ref="A15:H15"/>
    <mergeCell ref="A37:H38"/>
    <mergeCell ref="D19:H19"/>
    <mergeCell ref="A11:H11"/>
    <mergeCell ref="B33:H33"/>
    <mergeCell ref="A1:H1"/>
    <mergeCell ref="D22:H22"/>
    <mergeCell ref="B36:H36"/>
    <mergeCell ref="D21:H21"/>
    <mergeCell ref="A7:H7"/>
    <mergeCell ref="A25:H25"/>
    <mergeCell ref="B35:H35"/>
    <mergeCell ref="A41:H43"/>
    <mergeCell ref="A46:H46"/>
    <mergeCell ref="A27:H27"/>
    <mergeCell ref="A3:H3"/>
    <mergeCell ref="A16:H18"/>
    <mergeCell ref="A26:H26"/>
    <mergeCell ref="A32:H32"/>
    <mergeCell ref="A12:H14"/>
    <mergeCell ref="A8:H10"/>
    <mergeCell ref="A29:H29"/>
    <mergeCell ref="A28:H28"/>
    <mergeCell ref="D23:H23"/>
    <mergeCell ref="A44:H44"/>
    <mergeCell ref="B34:H34"/>
    <mergeCell ref="A40:H40"/>
  </mergeCells>
  <hyperlinks>
    <hyperlink xmlns:r="http://schemas.openxmlformats.org/officeDocument/2006/relationships" ref="A4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A44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26" customWidth="1" min="10" max="10"/>
  </cols>
  <sheetData>
    <row r="1" ht="26" customHeight="1">
      <c r="A1" s="24" t="inlineStr">
        <is>
          <t>📊 전사 종합요약 — 전 직원 결과·과정·종합 현황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</row>
    <row r="2">
      <c r="A2" s="25" t="inlineStr">
        <is>
          <t>🏠 사용안내로 이동</t>
        </is>
      </c>
      <c r="E2" s="25" t="inlineStr">
        <is>
          <t>📈 Dashboard 보기</t>
        </is>
      </c>
    </row>
    <row r="3" ht="28" customHeight="1">
      <c r="A3" s="2" t="inlineStr">
        <is>
          <t>No</t>
        </is>
      </c>
      <c r="B3" s="2" t="inlineStr">
        <is>
          <t>팀</t>
        </is>
      </c>
      <c r="C3" s="2" t="inlineStr">
        <is>
          <t>성명</t>
        </is>
      </c>
      <c r="D3" s="2" t="inlineStr">
        <is>
          <t>직책</t>
        </is>
      </c>
      <c r="E3" s="2" t="inlineStr">
        <is>
          <t>결과지표
(50)</t>
        </is>
      </c>
      <c r="F3" s="2" t="inlineStr">
        <is>
          <t>개별성과
(20)</t>
        </is>
      </c>
      <c r="G3" s="2" t="inlineStr">
        <is>
          <t>역량평가
(30)</t>
        </is>
      </c>
      <c r="H3" s="2" t="inlineStr">
        <is>
          <t>종합점수
(100)</t>
        </is>
      </c>
      <c r="I3" s="2" t="inlineStr">
        <is>
          <t>종합등급</t>
        </is>
      </c>
      <c r="J3" s="2" t="inlineStr">
        <is>
          <t>보상구분</t>
        </is>
      </c>
    </row>
    <row r="4">
      <c r="A4" s="19" t="n">
        <v>1</v>
      </c>
      <c r="B4" s="26" t="inlineStr">
        <is>
          <t>Research</t>
        </is>
      </c>
      <c r="C4" s="27">
        <f>Research!A50</f>
        <v/>
      </c>
      <c r="D4" s="20">
        <f>Research!B50</f>
        <v/>
      </c>
      <c r="E4" s="28">
        <f>Research!J50</f>
        <v/>
      </c>
      <c r="F4" s="20" t="inlineStr">
        <is>
          <t>해당없음</t>
        </is>
      </c>
      <c r="G4" s="20" t="inlineStr">
        <is>
          <t>상급자 평가</t>
        </is>
      </c>
      <c r="H4" s="20" t="inlineStr">
        <is>
          <t>-</t>
        </is>
      </c>
      <c r="I4" s="20" t="inlineStr">
        <is>
          <t>-</t>
        </is>
      </c>
      <c r="J4" s="29" t="inlineStr">
        <is>
          <t>리더 별도 산정</t>
        </is>
      </c>
    </row>
    <row r="5">
      <c r="A5" s="19" t="n">
        <v>2</v>
      </c>
      <c r="B5" s="30" t="inlineStr">
        <is>
          <t>Research</t>
        </is>
      </c>
      <c r="C5" s="31">
        <f>Research!A51</f>
        <v/>
      </c>
      <c r="D5" s="19">
        <f>Research!B51</f>
        <v/>
      </c>
      <c r="E5" s="32">
        <f>Research!J51</f>
        <v/>
      </c>
      <c r="F5" s="32">
        <f>Research!K51</f>
        <v/>
      </c>
      <c r="G5" s="32">
        <f>Research!H51</f>
        <v/>
      </c>
      <c r="H5" s="32">
        <f>Research!L51</f>
        <v/>
      </c>
      <c r="I5" s="19">
        <f>Research!M51</f>
        <v/>
      </c>
      <c r="J5" s="33">
        <f>Research!N51</f>
        <v/>
      </c>
    </row>
    <row r="6">
      <c r="A6" s="19" t="n">
        <v>3</v>
      </c>
      <c r="B6" s="30" t="inlineStr">
        <is>
          <t>Research</t>
        </is>
      </c>
      <c r="C6" s="31">
        <f>Research!A52</f>
        <v/>
      </c>
      <c r="D6" s="19">
        <f>Research!B52</f>
        <v/>
      </c>
      <c r="E6" s="32">
        <f>Research!J52</f>
        <v/>
      </c>
      <c r="F6" s="32">
        <f>Research!K52</f>
        <v/>
      </c>
      <c r="G6" s="32">
        <f>Research!H52</f>
        <v/>
      </c>
      <c r="H6" s="32">
        <f>Research!L52</f>
        <v/>
      </c>
      <c r="I6" s="19">
        <f>Research!M52</f>
        <v/>
      </c>
      <c r="J6" s="33">
        <f>Research!N52</f>
        <v/>
      </c>
    </row>
    <row r="7">
      <c r="A7" s="19" t="n">
        <v>4</v>
      </c>
      <c r="B7" s="30" t="inlineStr">
        <is>
          <t>Research</t>
        </is>
      </c>
      <c r="C7" s="31">
        <f>Research!A53</f>
        <v/>
      </c>
      <c r="D7" s="19">
        <f>Research!B53</f>
        <v/>
      </c>
      <c r="E7" s="32">
        <f>Research!J53</f>
        <v/>
      </c>
      <c r="F7" s="32">
        <f>Research!K53</f>
        <v/>
      </c>
      <c r="G7" s="32">
        <f>Research!H53</f>
        <v/>
      </c>
      <c r="H7" s="32">
        <f>Research!L53</f>
        <v/>
      </c>
      <c r="I7" s="19">
        <f>Research!M53</f>
        <v/>
      </c>
      <c r="J7" s="33">
        <f>Research!N53</f>
        <v/>
      </c>
    </row>
    <row r="8">
      <c r="A8" s="19" t="n">
        <v>5</v>
      </c>
      <c r="B8" s="30" t="inlineStr">
        <is>
          <t>Research</t>
        </is>
      </c>
      <c r="C8" s="31">
        <f>Research!A54</f>
        <v/>
      </c>
      <c r="D8" s="19">
        <f>Research!B54</f>
        <v/>
      </c>
      <c r="E8" s="32">
        <f>Research!J54</f>
        <v/>
      </c>
      <c r="F8" s="32">
        <f>Research!K54</f>
        <v/>
      </c>
      <c r="G8" s="32">
        <f>Research!H54</f>
        <v/>
      </c>
      <c r="H8" s="32">
        <f>Research!L54</f>
        <v/>
      </c>
      <c r="I8" s="19">
        <f>Research!M54</f>
        <v/>
      </c>
      <c r="J8" s="33">
        <f>Research!N54</f>
        <v/>
      </c>
    </row>
    <row r="9">
      <c r="A9" s="19" t="n">
        <v>6</v>
      </c>
      <c r="B9" s="30" t="inlineStr">
        <is>
          <t>Research</t>
        </is>
      </c>
      <c r="C9" s="31">
        <f>Research!A55</f>
        <v/>
      </c>
      <c r="D9" s="19">
        <f>Research!B55</f>
        <v/>
      </c>
      <c r="E9" s="32">
        <f>Research!J55</f>
        <v/>
      </c>
      <c r="F9" s="32">
        <f>Research!K55</f>
        <v/>
      </c>
      <c r="G9" s="32">
        <f>Research!H55</f>
        <v/>
      </c>
      <c r="H9" s="32">
        <f>Research!L55</f>
        <v/>
      </c>
      <c r="I9" s="19">
        <f>Research!M55</f>
        <v/>
      </c>
      <c r="J9" s="33">
        <f>Research!N55</f>
        <v/>
      </c>
    </row>
    <row r="10">
      <c r="A10" s="19" t="n">
        <v>7</v>
      </c>
      <c r="B10" s="30" t="inlineStr">
        <is>
          <t>Research</t>
        </is>
      </c>
      <c r="C10" s="31">
        <f>Research!A56</f>
        <v/>
      </c>
      <c r="D10" s="19">
        <f>Research!B56</f>
        <v/>
      </c>
      <c r="E10" s="32">
        <f>Research!J56</f>
        <v/>
      </c>
      <c r="F10" s="32">
        <f>Research!K56</f>
        <v/>
      </c>
      <c r="G10" s="32">
        <f>Research!H56</f>
        <v/>
      </c>
      <c r="H10" s="32">
        <f>Research!L56</f>
        <v/>
      </c>
      <c r="I10" s="19">
        <f>Research!M56</f>
        <v/>
      </c>
      <c r="J10" s="33">
        <f>Research!N56</f>
        <v/>
      </c>
    </row>
    <row r="11">
      <c r="A11" s="19" t="n">
        <v>8</v>
      </c>
      <c r="B11" s="30" t="inlineStr">
        <is>
          <t>Research</t>
        </is>
      </c>
      <c r="C11" s="31">
        <f>Research!A57</f>
        <v/>
      </c>
      <c r="D11" s="19">
        <f>Research!B57</f>
        <v/>
      </c>
      <c r="E11" s="32">
        <f>Research!J57</f>
        <v/>
      </c>
      <c r="F11" s="32">
        <f>Research!K57</f>
        <v/>
      </c>
      <c r="G11" s="32">
        <f>Research!H57</f>
        <v/>
      </c>
      <c r="H11" s="32">
        <f>Research!L57</f>
        <v/>
      </c>
      <c r="I11" s="19">
        <f>Research!M57</f>
        <v/>
      </c>
      <c r="J11" s="33">
        <f>Research!N57</f>
        <v/>
      </c>
    </row>
    <row r="12">
      <c r="A12" s="19" t="n">
        <v>9</v>
      </c>
      <c r="B12" s="30" t="inlineStr">
        <is>
          <t>Research</t>
        </is>
      </c>
      <c r="C12" s="31">
        <f>Research!A58</f>
        <v/>
      </c>
      <c r="D12" s="19">
        <f>Research!B58</f>
        <v/>
      </c>
      <c r="E12" s="32">
        <f>Research!J58</f>
        <v/>
      </c>
      <c r="F12" s="32">
        <f>Research!K58</f>
        <v/>
      </c>
      <c r="G12" s="32">
        <f>Research!H58</f>
        <v/>
      </c>
      <c r="H12" s="32">
        <f>Research!L58</f>
        <v/>
      </c>
      <c r="I12" s="19">
        <f>Research!M58</f>
        <v/>
      </c>
      <c r="J12" s="33">
        <f>Research!N58</f>
        <v/>
      </c>
    </row>
    <row r="13">
      <c r="A13" s="19" t="n">
        <v>10</v>
      </c>
      <c r="B13" s="30" t="inlineStr">
        <is>
          <t>Research</t>
        </is>
      </c>
      <c r="C13" s="31">
        <f>Research!A59</f>
        <v/>
      </c>
      <c r="D13" s="19">
        <f>Research!B59</f>
        <v/>
      </c>
      <c r="E13" s="32">
        <f>Research!J59</f>
        <v/>
      </c>
      <c r="F13" s="32">
        <f>Research!K59</f>
        <v/>
      </c>
      <c r="G13" s="32">
        <f>Research!H59</f>
        <v/>
      </c>
      <c r="H13" s="32">
        <f>Research!L59</f>
        <v/>
      </c>
      <c r="I13" s="19">
        <f>Research!M59</f>
        <v/>
      </c>
      <c r="J13" s="33">
        <f>Research!N59</f>
        <v/>
      </c>
    </row>
    <row r="14">
      <c r="A14" s="19" t="n">
        <v>11</v>
      </c>
      <c r="B14" s="30" t="inlineStr">
        <is>
          <t>Research</t>
        </is>
      </c>
      <c r="C14" s="31">
        <f>Research!A60</f>
        <v/>
      </c>
      <c r="D14" s="19">
        <f>Research!B60</f>
        <v/>
      </c>
      <c r="E14" s="32">
        <f>Research!J60</f>
        <v/>
      </c>
      <c r="F14" s="32">
        <f>Research!K60</f>
        <v/>
      </c>
      <c r="G14" s="32">
        <f>Research!H60</f>
        <v/>
      </c>
      <c r="H14" s="32">
        <f>Research!L60</f>
        <v/>
      </c>
      <c r="I14" s="19">
        <f>Research!M60</f>
        <v/>
      </c>
      <c r="J14" s="33">
        <f>Research!N60</f>
        <v/>
      </c>
    </row>
    <row r="15">
      <c r="A15" s="19" t="n">
        <v>12</v>
      </c>
      <c r="B15" s="30" t="inlineStr">
        <is>
          <t>Research</t>
        </is>
      </c>
      <c r="C15" s="31">
        <f>Research!A61</f>
        <v/>
      </c>
      <c r="D15" s="19">
        <f>Research!B61</f>
        <v/>
      </c>
      <c r="E15" s="32">
        <f>Research!J61</f>
        <v/>
      </c>
      <c r="F15" s="32">
        <f>Research!K61</f>
        <v/>
      </c>
      <c r="G15" s="32">
        <f>Research!H61</f>
        <v/>
      </c>
      <c r="H15" s="32">
        <f>Research!L61</f>
        <v/>
      </c>
      <c r="I15" s="19">
        <f>Research!M61</f>
        <v/>
      </c>
      <c r="J15" s="33">
        <f>Research!N61</f>
        <v/>
      </c>
    </row>
    <row r="16">
      <c r="A16" s="19" t="n">
        <v>13</v>
      </c>
      <c r="B16" s="30" t="inlineStr">
        <is>
          <t>Research</t>
        </is>
      </c>
      <c r="C16" s="31">
        <f>Research!A62</f>
        <v/>
      </c>
      <c r="D16" s="19">
        <f>Research!B62</f>
        <v/>
      </c>
      <c r="E16" s="32">
        <f>Research!J62</f>
        <v/>
      </c>
      <c r="F16" s="32">
        <f>Research!K62</f>
        <v/>
      </c>
      <c r="G16" s="32">
        <f>Research!H62</f>
        <v/>
      </c>
      <c r="H16" s="32">
        <f>Research!L62</f>
        <v/>
      </c>
      <c r="I16" s="19">
        <f>Research!M62</f>
        <v/>
      </c>
      <c r="J16" s="33">
        <f>Research!N62</f>
        <v/>
      </c>
    </row>
    <row r="17">
      <c r="A17" s="19" t="n">
        <v>14</v>
      </c>
      <c r="B17" s="30" t="inlineStr">
        <is>
          <t>Research</t>
        </is>
      </c>
      <c r="C17" s="31">
        <f>Research!A63</f>
        <v/>
      </c>
      <c r="D17" s="19">
        <f>Research!B63</f>
        <v/>
      </c>
      <c r="E17" s="32">
        <f>Research!J63</f>
        <v/>
      </c>
      <c r="F17" s="32">
        <f>Research!K63</f>
        <v/>
      </c>
      <c r="G17" s="32">
        <f>Research!H63</f>
        <v/>
      </c>
      <c r="H17" s="32">
        <f>Research!L63</f>
        <v/>
      </c>
      <c r="I17" s="19">
        <f>Research!M63</f>
        <v/>
      </c>
      <c r="J17" s="33">
        <f>Research!N63</f>
        <v/>
      </c>
    </row>
    <row r="18">
      <c r="A18" s="19" t="n">
        <v>15</v>
      </c>
      <c r="B18" s="30" t="inlineStr">
        <is>
          <t>Research</t>
        </is>
      </c>
      <c r="C18" s="31">
        <f>Research!A64</f>
        <v/>
      </c>
      <c r="D18" s="19">
        <f>Research!B64</f>
        <v/>
      </c>
      <c r="E18" s="32">
        <f>Research!J64</f>
        <v/>
      </c>
      <c r="F18" s="32">
        <f>Research!K64</f>
        <v/>
      </c>
      <c r="G18" s="32">
        <f>Research!H64</f>
        <v/>
      </c>
      <c r="H18" s="32">
        <f>Research!L64</f>
        <v/>
      </c>
      <c r="I18" s="19">
        <f>Research!M64</f>
        <v/>
      </c>
      <c r="J18" s="33">
        <f>Research!N64</f>
        <v/>
      </c>
    </row>
    <row r="19">
      <c r="A19" s="19" t="n">
        <v>16</v>
      </c>
      <c r="B19" s="30" t="inlineStr">
        <is>
          <t>Research</t>
        </is>
      </c>
      <c r="C19" s="31">
        <f>Research!A65</f>
        <v/>
      </c>
      <c r="D19" s="19">
        <f>Research!B65</f>
        <v/>
      </c>
      <c r="E19" s="32">
        <f>Research!J65</f>
        <v/>
      </c>
      <c r="F19" s="32">
        <f>Research!K65</f>
        <v/>
      </c>
      <c r="G19" s="32">
        <f>Research!H65</f>
        <v/>
      </c>
      <c r="H19" s="32">
        <f>Research!L65</f>
        <v/>
      </c>
      <c r="I19" s="19">
        <f>Research!M65</f>
        <v/>
      </c>
      <c r="J19" s="33">
        <f>Research!N65</f>
        <v/>
      </c>
    </row>
    <row r="20">
      <c r="A20" s="19" t="n">
        <v>17</v>
      </c>
      <c r="B20" s="26" t="inlineStr">
        <is>
          <t>PS</t>
        </is>
      </c>
      <c r="C20" s="27">
        <f>PS!A50</f>
        <v/>
      </c>
      <c r="D20" s="20">
        <f>PS!B50</f>
        <v/>
      </c>
      <c r="E20" s="28">
        <f>PS!J50</f>
        <v/>
      </c>
      <c r="F20" s="20" t="inlineStr">
        <is>
          <t>해당없음</t>
        </is>
      </c>
      <c r="G20" s="20" t="inlineStr">
        <is>
          <t>상급자 평가</t>
        </is>
      </c>
      <c r="H20" s="20" t="inlineStr">
        <is>
          <t>-</t>
        </is>
      </c>
      <c r="I20" s="20" t="inlineStr">
        <is>
          <t>-</t>
        </is>
      </c>
      <c r="J20" s="29" t="inlineStr">
        <is>
          <t>리더 별도 산정</t>
        </is>
      </c>
    </row>
    <row r="21">
      <c r="A21" s="19" t="n">
        <v>18</v>
      </c>
      <c r="B21" s="30" t="inlineStr">
        <is>
          <t>PS</t>
        </is>
      </c>
      <c r="C21" s="31">
        <f>PS!A51</f>
        <v/>
      </c>
      <c r="D21" s="19">
        <f>PS!B51</f>
        <v/>
      </c>
      <c r="E21" s="32">
        <f>PS!J51</f>
        <v/>
      </c>
      <c r="F21" s="32">
        <f>PS!K51</f>
        <v/>
      </c>
      <c r="G21" s="32">
        <f>PS!H51</f>
        <v/>
      </c>
      <c r="H21" s="32">
        <f>PS!L51</f>
        <v/>
      </c>
      <c r="I21" s="19">
        <f>PS!M51</f>
        <v/>
      </c>
      <c r="J21" s="33">
        <f>PS!N51</f>
        <v/>
      </c>
    </row>
    <row r="22">
      <c r="A22" s="19" t="n">
        <v>19</v>
      </c>
      <c r="B22" s="30" t="inlineStr">
        <is>
          <t>PS</t>
        </is>
      </c>
      <c r="C22" s="31">
        <f>PS!A52</f>
        <v/>
      </c>
      <c r="D22" s="19">
        <f>PS!B52</f>
        <v/>
      </c>
      <c r="E22" s="32">
        <f>PS!J52</f>
        <v/>
      </c>
      <c r="F22" s="32">
        <f>PS!K52</f>
        <v/>
      </c>
      <c r="G22" s="32">
        <f>PS!H52</f>
        <v/>
      </c>
      <c r="H22" s="32">
        <f>PS!L52</f>
        <v/>
      </c>
      <c r="I22" s="19">
        <f>PS!M52</f>
        <v/>
      </c>
      <c r="J22" s="33">
        <f>PS!N52</f>
        <v/>
      </c>
    </row>
    <row r="23">
      <c r="A23" s="19" t="n">
        <v>20</v>
      </c>
      <c r="B23" s="30" t="inlineStr">
        <is>
          <t>PS</t>
        </is>
      </c>
      <c r="C23" s="31">
        <f>PS!A53</f>
        <v/>
      </c>
      <c r="D23" s="19">
        <f>PS!B53</f>
        <v/>
      </c>
      <c r="E23" s="32">
        <f>PS!J53</f>
        <v/>
      </c>
      <c r="F23" s="32">
        <f>PS!K53</f>
        <v/>
      </c>
      <c r="G23" s="32">
        <f>PS!H53</f>
        <v/>
      </c>
      <c r="H23" s="32">
        <f>PS!L53</f>
        <v/>
      </c>
      <c r="I23" s="19">
        <f>PS!M53</f>
        <v/>
      </c>
      <c r="J23" s="33">
        <f>PS!N53</f>
        <v/>
      </c>
    </row>
    <row r="24">
      <c r="A24" s="19" t="n">
        <v>21</v>
      </c>
      <c r="B24" s="30" t="inlineStr">
        <is>
          <t>PS</t>
        </is>
      </c>
      <c r="C24" s="31">
        <f>PS!A54</f>
        <v/>
      </c>
      <c r="D24" s="19">
        <f>PS!B54</f>
        <v/>
      </c>
      <c r="E24" s="32">
        <f>PS!J54</f>
        <v/>
      </c>
      <c r="F24" s="32">
        <f>PS!K54</f>
        <v/>
      </c>
      <c r="G24" s="32">
        <f>PS!H54</f>
        <v/>
      </c>
      <c r="H24" s="32">
        <f>PS!L54</f>
        <v/>
      </c>
      <c r="I24" s="19">
        <f>PS!M54</f>
        <v/>
      </c>
      <c r="J24" s="33">
        <f>PS!N54</f>
        <v/>
      </c>
    </row>
    <row r="25">
      <c r="A25" s="19" t="n">
        <v>22</v>
      </c>
      <c r="B25" s="30" t="inlineStr">
        <is>
          <t>PS</t>
        </is>
      </c>
      <c r="C25" s="31">
        <f>PS!A55</f>
        <v/>
      </c>
      <c r="D25" s="19">
        <f>PS!B55</f>
        <v/>
      </c>
      <c r="E25" s="32">
        <f>PS!J55</f>
        <v/>
      </c>
      <c r="F25" s="32">
        <f>PS!K55</f>
        <v/>
      </c>
      <c r="G25" s="32">
        <f>PS!H55</f>
        <v/>
      </c>
      <c r="H25" s="32">
        <f>PS!L55</f>
        <v/>
      </c>
      <c r="I25" s="19">
        <f>PS!M55</f>
        <v/>
      </c>
      <c r="J25" s="33">
        <f>PS!N55</f>
        <v/>
      </c>
    </row>
    <row r="26">
      <c r="A26" s="19" t="n">
        <v>23</v>
      </c>
      <c r="B26" s="30" t="inlineStr">
        <is>
          <t>PS</t>
        </is>
      </c>
      <c r="C26" s="31">
        <f>PS!A56</f>
        <v/>
      </c>
      <c r="D26" s="19">
        <f>PS!B56</f>
        <v/>
      </c>
      <c r="E26" s="32">
        <f>PS!J56</f>
        <v/>
      </c>
      <c r="F26" s="32">
        <f>PS!K56</f>
        <v/>
      </c>
      <c r="G26" s="32">
        <f>PS!H56</f>
        <v/>
      </c>
      <c r="H26" s="32">
        <f>PS!L56</f>
        <v/>
      </c>
      <c r="I26" s="19">
        <f>PS!M56</f>
        <v/>
      </c>
      <c r="J26" s="33">
        <f>PS!N56</f>
        <v/>
      </c>
    </row>
    <row r="27">
      <c r="A27" s="19" t="n">
        <v>24</v>
      </c>
      <c r="B27" s="30" t="inlineStr">
        <is>
          <t>PS</t>
        </is>
      </c>
      <c r="C27" s="31">
        <f>PS!A57</f>
        <v/>
      </c>
      <c r="D27" s="19">
        <f>PS!B57</f>
        <v/>
      </c>
      <c r="E27" s="32">
        <f>PS!J57</f>
        <v/>
      </c>
      <c r="F27" s="32">
        <f>PS!K57</f>
        <v/>
      </c>
      <c r="G27" s="32">
        <f>PS!H57</f>
        <v/>
      </c>
      <c r="H27" s="32">
        <f>PS!L57</f>
        <v/>
      </c>
      <c r="I27" s="19">
        <f>PS!M57</f>
        <v/>
      </c>
      <c r="J27" s="33">
        <f>PS!N57</f>
        <v/>
      </c>
    </row>
    <row r="28">
      <c r="A28" s="19" t="n">
        <v>25</v>
      </c>
      <c r="B28" s="30" t="inlineStr">
        <is>
          <t>PS</t>
        </is>
      </c>
      <c r="C28" s="31">
        <f>PS!A58</f>
        <v/>
      </c>
      <c r="D28" s="19">
        <f>PS!B58</f>
        <v/>
      </c>
      <c r="E28" s="32">
        <f>PS!J58</f>
        <v/>
      </c>
      <c r="F28" s="32">
        <f>PS!K58</f>
        <v/>
      </c>
      <c r="G28" s="32">
        <f>PS!H58</f>
        <v/>
      </c>
      <c r="H28" s="32">
        <f>PS!L58</f>
        <v/>
      </c>
      <c r="I28" s="19">
        <f>PS!M58</f>
        <v/>
      </c>
      <c r="J28" s="33">
        <f>PS!N58</f>
        <v/>
      </c>
    </row>
    <row r="29">
      <c r="A29" s="19" t="n">
        <v>26</v>
      </c>
      <c r="B29" s="30" t="inlineStr">
        <is>
          <t>PS</t>
        </is>
      </c>
      <c r="C29" s="31">
        <f>PS!A59</f>
        <v/>
      </c>
      <c r="D29" s="19">
        <f>PS!B59</f>
        <v/>
      </c>
      <c r="E29" s="32">
        <f>PS!J59</f>
        <v/>
      </c>
      <c r="F29" s="32">
        <f>PS!K59</f>
        <v/>
      </c>
      <c r="G29" s="32">
        <f>PS!H59</f>
        <v/>
      </c>
      <c r="H29" s="32">
        <f>PS!L59</f>
        <v/>
      </c>
      <c r="I29" s="19">
        <f>PS!M59</f>
        <v/>
      </c>
      <c r="J29" s="33">
        <f>PS!N59</f>
        <v/>
      </c>
    </row>
    <row r="30">
      <c r="A30" s="19" t="n">
        <v>27</v>
      </c>
      <c r="B30" s="30" t="inlineStr">
        <is>
          <t>PS</t>
        </is>
      </c>
      <c r="C30" s="31">
        <f>PS!A60</f>
        <v/>
      </c>
      <c r="D30" s="19">
        <f>PS!B60</f>
        <v/>
      </c>
      <c r="E30" s="32">
        <f>PS!J60</f>
        <v/>
      </c>
      <c r="F30" s="32">
        <f>PS!K60</f>
        <v/>
      </c>
      <c r="G30" s="32">
        <f>PS!H60</f>
        <v/>
      </c>
      <c r="H30" s="32">
        <f>PS!L60</f>
        <v/>
      </c>
      <c r="I30" s="19">
        <f>PS!M60</f>
        <v/>
      </c>
      <c r="J30" s="33">
        <f>PS!N60</f>
        <v/>
      </c>
    </row>
    <row r="31">
      <c r="A31" s="19" t="n">
        <v>28</v>
      </c>
      <c r="B31" s="30" t="inlineStr">
        <is>
          <t>PS</t>
        </is>
      </c>
      <c r="C31" s="31">
        <f>PS!A61</f>
        <v/>
      </c>
      <c r="D31" s="19">
        <f>PS!B61</f>
        <v/>
      </c>
      <c r="E31" s="32">
        <f>PS!J61</f>
        <v/>
      </c>
      <c r="F31" s="32">
        <f>PS!K61</f>
        <v/>
      </c>
      <c r="G31" s="32">
        <f>PS!H61</f>
        <v/>
      </c>
      <c r="H31" s="32">
        <f>PS!L61</f>
        <v/>
      </c>
      <c r="I31" s="19">
        <f>PS!M61</f>
        <v/>
      </c>
      <c r="J31" s="33">
        <f>PS!N61</f>
        <v/>
      </c>
    </row>
    <row r="32">
      <c r="A32" s="19" t="n">
        <v>29</v>
      </c>
      <c r="B32" s="30" t="inlineStr">
        <is>
          <t>PS</t>
        </is>
      </c>
      <c r="C32" s="31">
        <f>PS!A62</f>
        <v/>
      </c>
      <c r="D32" s="19">
        <f>PS!B62</f>
        <v/>
      </c>
      <c r="E32" s="32">
        <f>PS!J62</f>
        <v/>
      </c>
      <c r="F32" s="32">
        <f>PS!K62</f>
        <v/>
      </c>
      <c r="G32" s="32">
        <f>PS!H62</f>
        <v/>
      </c>
      <c r="H32" s="32">
        <f>PS!L62</f>
        <v/>
      </c>
      <c r="I32" s="19">
        <f>PS!M62</f>
        <v/>
      </c>
      <c r="J32" s="33">
        <f>PS!N62</f>
        <v/>
      </c>
    </row>
    <row r="33">
      <c r="A33" s="19" t="n">
        <v>30</v>
      </c>
      <c r="B33" s="30" t="inlineStr">
        <is>
          <t>PS</t>
        </is>
      </c>
      <c r="C33" s="31">
        <f>PS!A63</f>
        <v/>
      </c>
      <c r="D33" s="19">
        <f>PS!B63</f>
        <v/>
      </c>
      <c r="E33" s="32">
        <f>PS!J63</f>
        <v/>
      </c>
      <c r="F33" s="32">
        <f>PS!K63</f>
        <v/>
      </c>
      <c r="G33" s="32">
        <f>PS!H63</f>
        <v/>
      </c>
      <c r="H33" s="32">
        <f>PS!L63</f>
        <v/>
      </c>
      <c r="I33" s="19">
        <f>PS!M63</f>
        <v/>
      </c>
      <c r="J33" s="33">
        <f>PS!N63</f>
        <v/>
      </c>
    </row>
    <row r="34">
      <c r="A34" s="19" t="n">
        <v>31</v>
      </c>
      <c r="B34" s="30" t="inlineStr">
        <is>
          <t>PS</t>
        </is>
      </c>
      <c r="C34" s="31">
        <f>PS!A64</f>
        <v/>
      </c>
      <c r="D34" s="19">
        <f>PS!B64</f>
        <v/>
      </c>
      <c r="E34" s="32">
        <f>PS!J64</f>
        <v/>
      </c>
      <c r="F34" s="32">
        <f>PS!K64</f>
        <v/>
      </c>
      <c r="G34" s="32">
        <f>PS!H64</f>
        <v/>
      </c>
      <c r="H34" s="32">
        <f>PS!L64</f>
        <v/>
      </c>
      <c r="I34" s="19">
        <f>PS!M64</f>
        <v/>
      </c>
      <c r="J34" s="33">
        <f>PS!N64</f>
        <v/>
      </c>
    </row>
    <row r="35">
      <c r="A35" s="19" t="n">
        <v>32</v>
      </c>
      <c r="B35" s="30" t="inlineStr">
        <is>
          <t>PS</t>
        </is>
      </c>
      <c r="C35" s="31">
        <f>PS!A65</f>
        <v/>
      </c>
      <c r="D35" s="19">
        <f>PS!B65</f>
        <v/>
      </c>
      <c r="E35" s="32">
        <f>PS!J65</f>
        <v/>
      </c>
      <c r="F35" s="32">
        <f>PS!K65</f>
        <v/>
      </c>
      <c r="G35" s="32">
        <f>PS!H65</f>
        <v/>
      </c>
      <c r="H35" s="32">
        <f>PS!L65</f>
        <v/>
      </c>
      <c r="I35" s="19">
        <f>PS!M65</f>
        <v/>
      </c>
      <c r="J35" s="33">
        <f>PS!N65</f>
        <v/>
      </c>
    </row>
    <row r="36">
      <c r="A36" s="19" t="n">
        <v>33</v>
      </c>
      <c r="B36" s="26" t="inlineStr">
        <is>
          <t>BD</t>
        </is>
      </c>
      <c r="C36" s="27">
        <f>BD!A50</f>
        <v/>
      </c>
      <c r="D36" s="20">
        <f>BD!B50</f>
        <v/>
      </c>
      <c r="E36" s="28">
        <f>BD!J50</f>
        <v/>
      </c>
      <c r="F36" s="20" t="inlineStr">
        <is>
          <t>해당없음</t>
        </is>
      </c>
      <c r="G36" s="20" t="inlineStr">
        <is>
          <t>상급자 평가</t>
        </is>
      </c>
      <c r="H36" s="20" t="inlineStr">
        <is>
          <t>-</t>
        </is>
      </c>
      <c r="I36" s="20" t="inlineStr">
        <is>
          <t>-</t>
        </is>
      </c>
      <c r="J36" s="29" t="inlineStr">
        <is>
          <t>리더 별도 산정</t>
        </is>
      </c>
    </row>
    <row r="37">
      <c r="A37" s="19" t="n">
        <v>34</v>
      </c>
      <c r="B37" s="30" t="inlineStr">
        <is>
          <t>BD</t>
        </is>
      </c>
      <c r="C37" s="31">
        <f>BD!A51</f>
        <v/>
      </c>
      <c r="D37" s="19">
        <f>BD!B51</f>
        <v/>
      </c>
      <c r="E37" s="32">
        <f>BD!J51</f>
        <v/>
      </c>
      <c r="F37" s="32">
        <f>BD!K51</f>
        <v/>
      </c>
      <c r="G37" s="32">
        <f>BD!H51</f>
        <v/>
      </c>
      <c r="H37" s="32">
        <f>BD!L51</f>
        <v/>
      </c>
      <c r="I37" s="19">
        <f>BD!M51</f>
        <v/>
      </c>
      <c r="J37" s="33">
        <f>BD!N51</f>
        <v/>
      </c>
    </row>
    <row r="38">
      <c r="A38" s="19" t="n">
        <v>35</v>
      </c>
      <c r="B38" s="30" t="inlineStr">
        <is>
          <t>BD</t>
        </is>
      </c>
      <c r="C38" s="31">
        <f>BD!A52</f>
        <v/>
      </c>
      <c r="D38" s="19">
        <f>BD!B52</f>
        <v/>
      </c>
      <c r="E38" s="32">
        <f>BD!J52</f>
        <v/>
      </c>
      <c r="F38" s="32">
        <f>BD!K52</f>
        <v/>
      </c>
      <c r="G38" s="32">
        <f>BD!H52</f>
        <v/>
      </c>
      <c r="H38" s="32">
        <f>BD!L52</f>
        <v/>
      </c>
      <c r="I38" s="19">
        <f>BD!M52</f>
        <v/>
      </c>
      <c r="J38" s="33">
        <f>BD!N52</f>
        <v/>
      </c>
    </row>
    <row r="39">
      <c r="A39" s="19" t="n">
        <v>36</v>
      </c>
      <c r="B39" s="30" t="inlineStr">
        <is>
          <t>BD</t>
        </is>
      </c>
      <c r="C39" s="31">
        <f>BD!A53</f>
        <v/>
      </c>
      <c r="D39" s="19">
        <f>BD!B53</f>
        <v/>
      </c>
      <c r="E39" s="32">
        <f>BD!J53</f>
        <v/>
      </c>
      <c r="F39" s="32">
        <f>BD!K53</f>
        <v/>
      </c>
      <c r="G39" s="32">
        <f>BD!H53</f>
        <v/>
      </c>
      <c r="H39" s="32">
        <f>BD!L53</f>
        <v/>
      </c>
      <c r="I39" s="19">
        <f>BD!M53</f>
        <v/>
      </c>
      <c r="J39" s="33">
        <f>BD!N53</f>
        <v/>
      </c>
    </row>
    <row r="40">
      <c r="A40" s="19" t="n">
        <v>37</v>
      </c>
      <c r="B40" s="30" t="inlineStr">
        <is>
          <t>BD</t>
        </is>
      </c>
      <c r="C40" s="31">
        <f>BD!A54</f>
        <v/>
      </c>
      <c r="D40" s="19">
        <f>BD!B54</f>
        <v/>
      </c>
      <c r="E40" s="32">
        <f>BD!J54</f>
        <v/>
      </c>
      <c r="F40" s="32">
        <f>BD!K54</f>
        <v/>
      </c>
      <c r="G40" s="32">
        <f>BD!H54</f>
        <v/>
      </c>
      <c r="H40" s="32">
        <f>BD!L54</f>
        <v/>
      </c>
      <c r="I40" s="19">
        <f>BD!M54</f>
        <v/>
      </c>
      <c r="J40" s="33">
        <f>BD!N54</f>
        <v/>
      </c>
    </row>
    <row r="41">
      <c r="A41" s="19" t="n">
        <v>38</v>
      </c>
      <c r="B41" s="30" t="inlineStr">
        <is>
          <t>BD</t>
        </is>
      </c>
      <c r="C41" s="31">
        <f>BD!A55</f>
        <v/>
      </c>
      <c r="D41" s="19">
        <f>BD!B55</f>
        <v/>
      </c>
      <c r="E41" s="32">
        <f>BD!J55</f>
        <v/>
      </c>
      <c r="F41" s="32">
        <f>BD!K55</f>
        <v/>
      </c>
      <c r="G41" s="32">
        <f>BD!H55</f>
        <v/>
      </c>
      <c r="H41" s="32">
        <f>BD!L55</f>
        <v/>
      </c>
      <c r="I41" s="19">
        <f>BD!M55</f>
        <v/>
      </c>
      <c r="J41" s="33">
        <f>BD!N55</f>
        <v/>
      </c>
    </row>
    <row r="42">
      <c r="A42" s="19" t="n">
        <v>39</v>
      </c>
      <c r="B42" s="30" t="inlineStr">
        <is>
          <t>BD</t>
        </is>
      </c>
      <c r="C42" s="31">
        <f>BD!A56</f>
        <v/>
      </c>
      <c r="D42" s="19">
        <f>BD!B56</f>
        <v/>
      </c>
      <c r="E42" s="32">
        <f>BD!J56</f>
        <v/>
      </c>
      <c r="F42" s="32">
        <f>BD!K56</f>
        <v/>
      </c>
      <c r="G42" s="32">
        <f>BD!H56</f>
        <v/>
      </c>
      <c r="H42" s="32">
        <f>BD!L56</f>
        <v/>
      </c>
      <c r="I42" s="19">
        <f>BD!M56</f>
        <v/>
      </c>
      <c r="J42" s="33">
        <f>BD!N56</f>
        <v/>
      </c>
    </row>
    <row r="43">
      <c r="A43" s="19" t="n">
        <v>40</v>
      </c>
      <c r="B43" s="30" t="inlineStr">
        <is>
          <t>BD</t>
        </is>
      </c>
      <c r="C43" s="31">
        <f>BD!A57</f>
        <v/>
      </c>
      <c r="D43" s="19">
        <f>BD!B57</f>
        <v/>
      </c>
      <c r="E43" s="32">
        <f>BD!J57</f>
        <v/>
      </c>
      <c r="F43" s="32">
        <f>BD!K57</f>
        <v/>
      </c>
      <c r="G43" s="32">
        <f>BD!H57</f>
        <v/>
      </c>
      <c r="H43" s="32">
        <f>BD!L57</f>
        <v/>
      </c>
      <c r="I43" s="19">
        <f>BD!M57</f>
        <v/>
      </c>
      <c r="J43" s="33">
        <f>BD!N57</f>
        <v/>
      </c>
    </row>
    <row r="44">
      <c r="A44" s="19" t="n">
        <v>41</v>
      </c>
      <c r="B44" s="30" t="inlineStr">
        <is>
          <t>BD</t>
        </is>
      </c>
      <c r="C44" s="31">
        <f>BD!A58</f>
        <v/>
      </c>
      <c r="D44" s="19">
        <f>BD!B58</f>
        <v/>
      </c>
      <c r="E44" s="32">
        <f>BD!J58</f>
        <v/>
      </c>
      <c r="F44" s="32">
        <f>BD!K58</f>
        <v/>
      </c>
      <c r="G44" s="32">
        <f>BD!H58</f>
        <v/>
      </c>
      <c r="H44" s="32">
        <f>BD!L58</f>
        <v/>
      </c>
      <c r="I44" s="19">
        <f>BD!M58</f>
        <v/>
      </c>
      <c r="J44" s="33">
        <f>BD!N58</f>
        <v/>
      </c>
    </row>
    <row r="45">
      <c r="A45" s="19" t="n">
        <v>42</v>
      </c>
      <c r="B45" s="30" t="inlineStr">
        <is>
          <t>BD</t>
        </is>
      </c>
      <c r="C45" s="31">
        <f>BD!A59</f>
        <v/>
      </c>
      <c r="D45" s="19">
        <f>BD!B59</f>
        <v/>
      </c>
      <c r="E45" s="32">
        <f>BD!J59</f>
        <v/>
      </c>
      <c r="F45" s="32">
        <f>BD!K59</f>
        <v/>
      </c>
      <c r="G45" s="32">
        <f>BD!H59</f>
        <v/>
      </c>
      <c r="H45" s="32">
        <f>BD!L59</f>
        <v/>
      </c>
      <c r="I45" s="19">
        <f>BD!M59</f>
        <v/>
      </c>
      <c r="J45" s="33">
        <f>BD!N59</f>
        <v/>
      </c>
    </row>
    <row r="46">
      <c r="A46" s="19" t="n">
        <v>43</v>
      </c>
      <c r="B46" s="30" t="inlineStr">
        <is>
          <t>BD</t>
        </is>
      </c>
      <c r="C46" s="31">
        <f>BD!A60</f>
        <v/>
      </c>
      <c r="D46" s="19">
        <f>BD!B60</f>
        <v/>
      </c>
      <c r="E46" s="32">
        <f>BD!J60</f>
        <v/>
      </c>
      <c r="F46" s="32">
        <f>BD!K60</f>
        <v/>
      </c>
      <c r="G46" s="32">
        <f>BD!H60</f>
        <v/>
      </c>
      <c r="H46" s="32">
        <f>BD!L60</f>
        <v/>
      </c>
      <c r="I46" s="19">
        <f>BD!M60</f>
        <v/>
      </c>
      <c r="J46" s="33">
        <f>BD!N60</f>
        <v/>
      </c>
    </row>
    <row r="47">
      <c r="A47" s="19" t="n">
        <v>44</v>
      </c>
      <c r="B47" s="30" t="inlineStr">
        <is>
          <t>BD</t>
        </is>
      </c>
      <c r="C47" s="31">
        <f>BD!A61</f>
        <v/>
      </c>
      <c r="D47" s="19">
        <f>BD!B61</f>
        <v/>
      </c>
      <c r="E47" s="32">
        <f>BD!J61</f>
        <v/>
      </c>
      <c r="F47" s="32">
        <f>BD!K61</f>
        <v/>
      </c>
      <c r="G47" s="32">
        <f>BD!H61</f>
        <v/>
      </c>
      <c r="H47" s="32">
        <f>BD!L61</f>
        <v/>
      </c>
      <c r="I47" s="19">
        <f>BD!M61</f>
        <v/>
      </c>
      <c r="J47" s="33">
        <f>BD!N61</f>
        <v/>
      </c>
    </row>
    <row r="48">
      <c r="A48" s="19" t="n">
        <v>45</v>
      </c>
      <c r="B48" s="30" t="inlineStr">
        <is>
          <t>BD</t>
        </is>
      </c>
      <c r="C48" s="31">
        <f>BD!A62</f>
        <v/>
      </c>
      <c r="D48" s="19">
        <f>BD!B62</f>
        <v/>
      </c>
      <c r="E48" s="32">
        <f>BD!J62</f>
        <v/>
      </c>
      <c r="F48" s="32">
        <f>BD!K62</f>
        <v/>
      </c>
      <c r="G48" s="32">
        <f>BD!H62</f>
        <v/>
      </c>
      <c r="H48" s="32">
        <f>BD!L62</f>
        <v/>
      </c>
      <c r="I48" s="19">
        <f>BD!M62</f>
        <v/>
      </c>
      <c r="J48" s="33">
        <f>BD!N62</f>
        <v/>
      </c>
    </row>
    <row r="49">
      <c r="A49" s="19" t="n">
        <v>46</v>
      </c>
      <c r="B49" s="30" t="inlineStr">
        <is>
          <t>BD</t>
        </is>
      </c>
      <c r="C49" s="31">
        <f>BD!A63</f>
        <v/>
      </c>
      <c r="D49" s="19">
        <f>BD!B63</f>
        <v/>
      </c>
      <c r="E49" s="32">
        <f>BD!J63</f>
        <v/>
      </c>
      <c r="F49" s="32">
        <f>BD!K63</f>
        <v/>
      </c>
      <c r="G49" s="32">
        <f>BD!H63</f>
        <v/>
      </c>
      <c r="H49" s="32">
        <f>BD!L63</f>
        <v/>
      </c>
      <c r="I49" s="19">
        <f>BD!M63</f>
        <v/>
      </c>
      <c r="J49" s="33">
        <f>BD!N63</f>
        <v/>
      </c>
    </row>
    <row r="50">
      <c r="A50" s="19" t="n">
        <v>47</v>
      </c>
      <c r="B50" s="30" t="inlineStr">
        <is>
          <t>BD</t>
        </is>
      </c>
      <c r="C50" s="31">
        <f>BD!A64</f>
        <v/>
      </c>
      <c r="D50" s="19">
        <f>BD!B64</f>
        <v/>
      </c>
      <c r="E50" s="32">
        <f>BD!J64</f>
        <v/>
      </c>
      <c r="F50" s="32">
        <f>BD!K64</f>
        <v/>
      </c>
      <c r="G50" s="32">
        <f>BD!H64</f>
        <v/>
      </c>
      <c r="H50" s="32">
        <f>BD!L64</f>
        <v/>
      </c>
      <c r="I50" s="19">
        <f>BD!M64</f>
        <v/>
      </c>
      <c r="J50" s="33">
        <f>BD!N64</f>
        <v/>
      </c>
    </row>
    <row r="51">
      <c r="A51" s="19" t="n">
        <v>48</v>
      </c>
      <c r="B51" s="30" t="inlineStr">
        <is>
          <t>BD</t>
        </is>
      </c>
      <c r="C51" s="31">
        <f>BD!A65</f>
        <v/>
      </c>
      <c r="D51" s="19">
        <f>BD!B65</f>
        <v/>
      </c>
      <c r="E51" s="32">
        <f>BD!J65</f>
        <v/>
      </c>
      <c r="F51" s="32">
        <f>BD!K65</f>
        <v/>
      </c>
      <c r="G51" s="32">
        <f>BD!H65</f>
        <v/>
      </c>
      <c r="H51" s="32">
        <f>BD!L65</f>
        <v/>
      </c>
      <c r="I51" s="19">
        <f>BD!M65</f>
        <v/>
      </c>
      <c r="J51" s="33">
        <f>BD!N65</f>
        <v/>
      </c>
    </row>
    <row r="52">
      <c r="A52" s="19" t="n">
        <v>49</v>
      </c>
      <c r="B52" s="26" t="inlineStr">
        <is>
          <t>PB</t>
        </is>
      </c>
      <c r="C52" s="27">
        <f>PB!A50</f>
        <v/>
      </c>
      <c r="D52" s="20">
        <f>PB!B50</f>
        <v/>
      </c>
      <c r="E52" s="28">
        <f>PB!J50</f>
        <v/>
      </c>
      <c r="F52" s="20" t="inlineStr">
        <is>
          <t>해당없음</t>
        </is>
      </c>
      <c r="G52" s="20" t="inlineStr">
        <is>
          <t>상급자 평가</t>
        </is>
      </c>
      <c r="H52" s="20" t="inlineStr">
        <is>
          <t>-</t>
        </is>
      </c>
      <c r="I52" s="20" t="inlineStr">
        <is>
          <t>-</t>
        </is>
      </c>
      <c r="J52" s="29" t="inlineStr">
        <is>
          <t>리더 별도 산정</t>
        </is>
      </c>
    </row>
    <row r="53">
      <c r="A53" s="19" t="n">
        <v>50</v>
      </c>
      <c r="B53" s="30" t="inlineStr">
        <is>
          <t>PB</t>
        </is>
      </c>
      <c r="C53" s="31">
        <f>PB!A51</f>
        <v/>
      </c>
      <c r="D53" s="19">
        <f>PB!B51</f>
        <v/>
      </c>
      <c r="E53" s="32">
        <f>PB!J51</f>
        <v/>
      </c>
      <c r="F53" s="32">
        <f>PB!K51</f>
        <v/>
      </c>
      <c r="G53" s="32">
        <f>PB!H51</f>
        <v/>
      </c>
      <c r="H53" s="32">
        <f>PB!L51</f>
        <v/>
      </c>
      <c r="I53" s="19">
        <f>PB!M51</f>
        <v/>
      </c>
      <c r="J53" s="33">
        <f>PB!N51</f>
        <v/>
      </c>
    </row>
    <row r="54">
      <c r="A54" s="19" t="n">
        <v>51</v>
      </c>
      <c r="B54" s="30" t="inlineStr">
        <is>
          <t>PB</t>
        </is>
      </c>
      <c r="C54" s="31">
        <f>PB!A52</f>
        <v/>
      </c>
      <c r="D54" s="19">
        <f>PB!B52</f>
        <v/>
      </c>
      <c r="E54" s="32">
        <f>PB!J52</f>
        <v/>
      </c>
      <c r="F54" s="32">
        <f>PB!K52</f>
        <v/>
      </c>
      <c r="G54" s="32">
        <f>PB!H52</f>
        <v/>
      </c>
      <c r="H54" s="32">
        <f>PB!L52</f>
        <v/>
      </c>
      <c r="I54" s="19">
        <f>PB!M52</f>
        <v/>
      </c>
      <c r="J54" s="33">
        <f>PB!N52</f>
        <v/>
      </c>
    </row>
    <row r="55">
      <c r="A55" s="19" t="n">
        <v>52</v>
      </c>
      <c r="B55" s="30" t="inlineStr">
        <is>
          <t>PB</t>
        </is>
      </c>
      <c r="C55" s="31">
        <f>PB!A53</f>
        <v/>
      </c>
      <c r="D55" s="19">
        <f>PB!B53</f>
        <v/>
      </c>
      <c r="E55" s="32">
        <f>PB!J53</f>
        <v/>
      </c>
      <c r="F55" s="32">
        <f>PB!K53</f>
        <v/>
      </c>
      <c r="G55" s="32">
        <f>PB!H53</f>
        <v/>
      </c>
      <c r="H55" s="32">
        <f>PB!L53</f>
        <v/>
      </c>
      <c r="I55" s="19">
        <f>PB!M53</f>
        <v/>
      </c>
      <c r="J55" s="33">
        <f>PB!N53</f>
        <v/>
      </c>
    </row>
    <row r="56">
      <c r="A56" s="19" t="n">
        <v>53</v>
      </c>
      <c r="B56" s="30" t="inlineStr">
        <is>
          <t>PB</t>
        </is>
      </c>
      <c r="C56" s="31">
        <f>PB!A54</f>
        <v/>
      </c>
      <c r="D56" s="19">
        <f>PB!B54</f>
        <v/>
      </c>
      <c r="E56" s="32">
        <f>PB!J54</f>
        <v/>
      </c>
      <c r="F56" s="32">
        <f>PB!K54</f>
        <v/>
      </c>
      <c r="G56" s="32">
        <f>PB!H54</f>
        <v/>
      </c>
      <c r="H56" s="32">
        <f>PB!L54</f>
        <v/>
      </c>
      <c r="I56" s="19">
        <f>PB!M54</f>
        <v/>
      </c>
      <c r="J56" s="33">
        <f>PB!N54</f>
        <v/>
      </c>
    </row>
    <row r="57">
      <c r="A57" s="19" t="n">
        <v>54</v>
      </c>
      <c r="B57" s="30" t="inlineStr">
        <is>
          <t>PB</t>
        </is>
      </c>
      <c r="C57" s="31">
        <f>PB!A55</f>
        <v/>
      </c>
      <c r="D57" s="19">
        <f>PB!B55</f>
        <v/>
      </c>
      <c r="E57" s="32">
        <f>PB!J55</f>
        <v/>
      </c>
      <c r="F57" s="32">
        <f>PB!K55</f>
        <v/>
      </c>
      <c r="G57" s="32">
        <f>PB!H55</f>
        <v/>
      </c>
      <c r="H57" s="32">
        <f>PB!L55</f>
        <v/>
      </c>
      <c r="I57" s="19">
        <f>PB!M55</f>
        <v/>
      </c>
      <c r="J57" s="33">
        <f>PB!N55</f>
        <v/>
      </c>
    </row>
    <row r="58">
      <c r="A58" s="19" t="n">
        <v>55</v>
      </c>
      <c r="B58" s="30" t="inlineStr">
        <is>
          <t>PB</t>
        </is>
      </c>
      <c r="C58" s="31">
        <f>PB!A56</f>
        <v/>
      </c>
      <c r="D58" s="19">
        <f>PB!B56</f>
        <v/>
      </c>
      <c r="E58" s="32">
        <f>PB!J56</f>
        <v/>
      </c>
      <c r="F58" s="32">
        <f>PB!K56</f>
        <v/>
      </c>
      <c r="G58" s="32">
        <f>PB!H56</f>
        <v/>
      </c>
      <c r="H58" s="32">
        <f>PB!L56</f>
        <v/>
      </c>
      <c r="I58" s="19">
        <f>PB!M56</f>
        <v/>
      </c>
      <c r="J58" s="33">
        <f>PB!N56</f>
        <v/>
      </c>
    </row>
    <row r="59">
      <c r="A59" s="19" t="n">
        <v>56</v>
      </c>
      <c r="B59" s="30" t="inlineStr">
        <is>
          <t>PB</t>
        </is>
      </c>
      <c r="C59" s="31">
        <f>PB!A57</f>
        <v/>
      </c>
      <c r="D59" s="19">
        <f>PB!B57</f>
        <v/>
      </c>
      <c r="E59" s="32">
        <f>PB!J57</f>
        <v/>
      </c>
      <c r="F59" s="32">
        <f>PB!K57</f>
        <v/>
      </c>
      <c r="G59" s="32">
        <f>PB!H57</f>
        <v/>
      </c>
      <c r="H59" s="32">
        <f>PB!L57</f>
        <v/>
      </c>
      <c r="I59" s="19">
        <f>PB!M57</f>
        <v/>
      </c>
      <c r="J59" s="33">
        <f>PB!N57</f>
        <v/>
      </c>
    </row>
    <row r="60">
      <c r="A60" s="19" t="n">
        <v>57</v>
      </c>
      <c r="B60" s="30" t="inlineStr">
        <is>
          <t>PB</t>
        </is>
      </c>
      <c r="C60" s="31">
        <f>PB!A58</f>
        <v/>
      </c>
      <c r="D60" s="19">
        <f>PB!B58</f>
        <v/>
      </c>
      <c r="E60" s="32">
        <f>PB!J58</f>
        <v/>
      </c>
      <c r="F60" s="32">
        <f>PB!K58</f>
        <v/>
      </c>
      <c r="G60" s="32">
        <f>PB!H58</f>
        <v/>
      </c>
      <c r="H60" s="32">
        <f>PB!L58</f>
        <v/>
      </c>
      <c r="I60" s="19">
        <f>PB!M58</f>
        <v/>
      </c>
      <c r="J60" s="33">
        <f>PB!N58</f>
        <v/>
      </c>
    </row>
    <row r="61">
      <c r="A61" s="19" t="n">
        <v>58</v>
      </c>
      <c r="B61" s="30" t="inlineStr">
        <is>
          <t>PB</t>
        </is>
      </c>
      <c r="C61" s="31">
        <f>PB!A59</f>
        <v/>
      </c>
      <c r="D61" s="19">
        <f>PB!B59</f>
        <v/>
      </c>
      <c r="E61" s="32">
        <f>PB!J59</f>
        <v/>
      </c>
      <c r="F61" s="32">
        <f>PB!K59</f>
        <v/>
      </c>
      <c r="G61" s="32">
        <f>PB!H59</f>
        <v/>
      </c>
      <c r="H61" s="32">
        <f>PB!L59</f>
        <v/>
      </c>
      <c r="I61" s="19">
        <f>PB!M59</f>
        <v/>
      </c>
      <c r="J61" s="33">
        <f>PB!N59</f>
        <v/>
      </c>
    </row>
    <row r="62">
      <c r="A62" s="19" t="n">
        <v>59</v>
      </c>
      <c r="B62" s="30" t="inlineStr">
        <is>
          <t>PB</t>
        </is>
      </c>
      <c r="C62" s="31">
        <f>PB!A60</f>
        <v/>
      </c>
      <c r="D62" s="19">
        <f>PB!B60</f>
        <v/>
      </c>
      <c r="E62" s="32">
        <f>PB!J60</f>
        <v/>
      </c>
      <c r="F62" s="32">
        <f>PB!K60</f>
        <v/>
      </c>
      <c r="G62" s="32">
        <f>PB!H60</f>
        <v/>
      </c>
      <c r="H62" s="32">
        <f>PB!L60</f>
        <v/>
      </c>
      <c r="I62" s="19">
        <f>PB!M60</f>
        <v/>
      </c>
      <c r="J62" s="33">
        <f>PB!N60</f>
        <v/>
      </c>
    </row>
    <row r="63">
      <c r="A63" s="19" t="n">
        <v>60</v>
      </c>
      <c r="B63" s="30" t="inlineStr">
        <is>
          <t>PB</t>
        </is>
      </c>
      <c r="C63" s="31">
        <f>PB!A61</f>
        <v/>
      </c>
      <c r="D63" s="19">
        <f>PB!B61</f>
        <v/>
      </c>
      <c r="E63" s="32">
        <f>PB!J61</f>
        <v/>
      </c>
      <c r="F63" s="32">
        <f>PB!K61</f>
        <v/>
      </c>
      <c r="G63" s="32">
        <f>PB!H61</f>
        <v/>
      </c>
      <c r="H63" s="32">
        <f>PB!L61</f>
        <v/>
      </c>
      <c r="I63" s="19">
        <f>PB!M61</f>
        <v/>
      </c>
      <c r="J63" s="33">
        <f>PB!N61</f>
        <v/>
      </c>
    </row>
    <row r="64">
      <c r="A64" s="19" t="n">
        <v>61</v>
      </c>
      <c r="B64" s="30" t="inlineStr">
        <is>
          <t>PB</t>
        </is>
      </c>
      <c r="C64" s="31">
        <f>PB!A62</f>
        <v/>
      </c>
      <c r="D64" s="19">
        <f>PB!B62</f>
        <v/>
      </c>
      <c r="E64" s="32">
        <f>PB!J62</f>
        <v/>
      </c>
      <c r="F64" s="32">
        <f>PB!K62</f>
        <v/>
      </c>
      <c r="G64" s="32">
        <f>PB!H62</f>
        <v/>
      </c>
      <c r="H64" s="32">
        <f>PB!L62</f>
        <v/>
      </c>
      <c r="I64" s="19">
        <f>PB!M62</f>
        <v/>
      </c>
      <c r="J64" s="33">
        <f>PB!N62</f>
        <v/>
      </c>
    </row>
    <row r="65">
      <c r="A65" s="19" t="n">
        <v>62</v>
      </c>
      <c r="B65" s="30" t="inlineStr">
        <is>
          <t>PB</t>
        </is>
      </c>
      <c r="C65" s="31">
        <f>PB!A63</f>
        <v/>
      </c>
      <c r="D65" s="19">
        <f>PB!B63</f>
        <v/>
      </c>
      <c r="E65" s="32">
        <f>PB!J63</f>
        <v/>
      </c>
      <c r="F65" s="32">
        <f>PB!K63</f>
        <v/>
      </c>
      <c r="G65" s="32">
        <f>PB!H63</f>
        <v/>
      </c>
      <c r="H65" s="32">
        <f>PB!L63</f>
        <v/>
      </c>
      <c r="I65" s="19">
        <f>PB!M63</f>
        <v/>
      </c>
      <c r="J65" s="33">
        <f>PB!N63</f>
        <v/>
      </c>
    </row>
    <row r="66">
      <c r="A66" s="19" t="n">
        <v>63</v>
      </c>
      <c r="B66" s="30" t="inlineStr">
        <is>
          <t>PB</t>
        </is>
      </c>
      <c r="C66" s="31">
        <f>PB!A64</f>
        <v/>
      </c>
      <c r="D66" s="19">
        <f>PB!B64</f>
        <v/>
      </c>
      <c r="E66" s="32">
        <f>PB!J64</f>
        <v/>
      </c>
      <c r="F66" s="32">
        <f>PB!K64</f>
        <v/>
      </c>
      <c r="G66" s="32">
        <f>PB!H64</f>
        <v/>
      </c>
      <c r="H66" s="32">
        <f>PB!L64</f>
        <v/>
      </c>
      <c r="I66" s="19">
        <f>PB!M64</f>
        <v/>
      </c>
      <c r="J66" s="33">
        <f>PB!N64</f>
        <v/>
      </c>
    </row>
    <row r="67">
      <c r="A67" s="19" t="n">
        <v>64</v>
      </c>
      <c r="B67" s="30" t="inlineStr">
        <is>
          <t>PB</t>
        </is>
      </c>
      <c r="C67" s="31">
        <f>PB!A65</f>
        <v/>
      </c>
      <c r="D67" s="19">
        <f>PB!B65</f>
        <v/>
      </c>
      <c r="E67" s="32">
        <f>PB!J65</f>
        <v/>
      </c>
      <c r="F67" s="32">
        <f>PB!K65</f>
        <v/>
      </c>
      <c r="G67" s="32">
        <f>PB!H65</f>
        <v/>
      </c>
      <c r="H67" s="32">
        <f>PB!L65</f>
        <v/>
      </c>
      <c r="I67" s="19">
        <f>PB!M65</f>
        <v/>
      </c>
      <c r="J67" s="33">
        <f>PB!N65</f>
        <v/>
      </c>
    </row>
    <row r="68">
      <c r="A68" s="19" t="n">
        <v>65</v>
      </c>
      <c r="B68" s="26" t="inlineStr">
        <is>
          <t>BM</t>
        </is>
      </c>
      <c r="C68" s="27">
        <f>BM!A50</f>
        <v/>
      </c>
      <c r="D68" s="20">
        <f>BM!B50</f>
        <v/>
      </c>
      <c r="E68" s="28">
        <f>BM!J50</f>
        <v/>
      </c>
      <c r="F68" s="20" t="inlineStr">
        <is>
          <t>해당없음</t>
        </is>
      </c>
      <c r="G68" s="20" t="inlineStr">
        <is>
          <t>상급자 평가</t>
        </is>
      </c>
      <c r="H68" s="20" t="inlineStr">
        <is>
          <t>-</t>
        </is>
      </c>
      <c r="I68" s="20" t="inlineStr">
        <is>
          <t>-</t>
        </is>
      </c>
      <c r="J68" s="29" t="inlineStr">
        <is>
          <t>리더 별도 산정</t>
        </is>
      </c>
    </row>
    <row r="69">
      <c r="A69" s="19" t="n">
        <v>66</v>
      </c>
      <c r="B69" s="30" t="inlineStr">
        <is>
          <t>BM</t>
        </is>
      </c>
      <c r="C69" s="31">
        <f>BM!A51</f>
        <v/>
      </c>
      <c r="D69" s="19">
        <f>BM!B51</f>
        <v/>
      </c>
      <c r="E69" s="32">
        <f>BM!J51</f>
        <v/>
      </c>
      <c r="F69" s="32">
        <f>BM!K51</f>
        <v/>
      </c>
      <c r="G69" s="32">
        <f>BM!H51</f>
        <v/>
      </c>
      <c r="H69" s="32">
        <f>BM!L51</f>
        <v/>
      </c>
      <c r="I69" s="19">
        <f>BM!M51</f>
        <v/>
      </c>
      <c r="J69" s="33">
        <f>BM!N51</f>
        <v/>
      </c>
    </row>
    <row r="70">
      <c r="A70" s="19" t="n">
        <v>67</v>
      </c>
      <c r="B70" s="30" t="inlineStr">
        <is>
          <t>BM</t>
        </is>
      </c>
      <c r="C70" s="31">
        <f>BM!A52</f>
        <v/>
      </c>
      <c r="D70" s="19">
        <f>BM!B52</f>
        <v/>
      </c>
      <c r="E70" s="32">
        <f>BM!J52</f>
        <v/>
      </c>
      <c r="F70" s="32">
        <f>BM!K52</f>
        <v/>
      </c>
      <c r="G70" s="32">
        <f>BM!H52</f>
        <v/>
      </c>
      <c r="H70" s="32">
        <f>BM!L52</f>
        <v/>
      </c>
      <c r="I70" s="19">
        <f>BM!M52</f>
        <v/>
      </c>
      <c r="J70" s="33">
        <f>BM!N52</f>
        <v/>
      </c>
    </row>
    <row r="71">
      <c r="A71" s="19" t="n">
        <v>68</v>
      </c>
      <c r="B71" s="30" t="inlineStr">
        <is>
          <t>BM</t>
        </is>
      </c>
      <c r="C71" s="31">
        <f>BM!A53</f>
        <v/>
      </c>
      <c r="D71" s="19">
        <f>BM!B53</f>
        <v/>
      </c>
      <c r="E71" s="32">
        <f>BM!J53</f>
        <v/>
      </c>
      <c r="F71" s="32">
        <f>BM!K53</f>
        <v/>
      </c>
      <c r="G71" s="32">
        <f>BM!H53</f>
        <v/>
      </c>
      <c r="H71" s="32">
        <f>BM!L53</f>
        <v/>
      </c>
      <c r="I71" s="19">
        <f>BM!M53</f>
        <v/>
      </c>
      <c r="J71" s="33">
        <f>BM!N53</f>
        <v/>
      </c>
    </row>
    <row r="72">
      <c r="A72" s="19" t="n">
        <v>69</v>
      </c>
      <c r="B72" s="30" t="inlineStr">
        <is>
          <t>BM</t>
        </is>
      </c>
      <c r="C72" s="31">
        <f>BM!A54</f>
        <v/>
      </c>
      <c r="D72" s="19">
        <f>BM!B54</f>
        <v/>
      </c>
      <c r="E72" s="32">
        <f>BM!J54</f>
        <v/>
      </c>
      <c r="F72" s="32">
        <f>BM!K54</f>
        <v/>
      </c>
      <c r="G72" s="32">
        <f>BM!H54</f>
        <v/>
      </c>
      <c r="H72" s="32">
        <f>BM!L54</f>
        <v/>
      </c>
      <c r="I72" s="19">
        <f>BM!M54</f>
        <v/>
      </c>
      <c r="J72" s="33">
        <f>BM!N54</f>
        <v/>
      </c>
    </row>
    <row r="73">
      <c r="A73" s="19" t="n">
        <v>70</v>
      </c>
      <c r="B73" s="30" t="inlineStr">
        <is>
          <t>BM</t>
        </is>
      </c>
      <c r="C73" s="31">
        <f>BM!A55</f>
        <v/>
      </c>
      <c r="D73" s="19">
        <f>BM!B55</f>
        <v/>
      </c>
      <c r="E73" s="32">
        <f>BM!J55</f>
        <v/>
      </c>
      <c r="F73" s="32">
        <f>BM!K55</f>
        <v/>
      </c>
      <c r="G73" s="32">
        <f>BM!H55</f>
        <v/>
      </c>
      <c r="H73" s="32">
        <f>BM!L55</f>
        <v/>
      </c>
      <c r="I73" s="19">
        <f>BM!M55</f>
        <v/>
      </c>
      <c r="J73" s="33">
        <f>BM!N55</f>
        <v/>
      </c>
    </row>
    <row r="74">
      <c r="A74" s="19" t="n">
        <v>71</v>
      </c>
      <c r="B74" s="30" t="inlineStr">
        <is>
          <t>BM</t>
        </is>
      </c>
      <c r="C74" s="31">
        <f>BM!A56</f>
        <v/>
      </c>
      <c r="D74" s="19">
        <f>BM!B56</f>
        <v/>
      </c>
      <c r="E74" s="32">
        <f>BM!J56</f>
        <v/>
      </c>
      <c r="F74" s="32">
        <f>BM!K56</f>
        <v/>
      </c>
      <c r="G74" s="32">
        <f>BM!H56</f>
        <v/>
      </c>
      <c r="H74" s="32">
        <f>BM!L56</f>
        <v/>
      </c>
      <c r="I74" s="19">
        <f>BM!M56</f>
        <v/>
      </c>
      <c r="J74" s="33">
        <f>BM!N56</f>
        <v/>
      </c>
    </row>
    <row r="75">
      <c r="A75" s="19" t="n">
        <v>72</v>
      </c>
      <c r="B75" s="30" t="inlineStr">
        <is>
          <t>BM</t>
        </is>
      </c>
      <c r="C75" s="31">
        <f>BM!A57</f>
        <v/>
      </c>
      <c r="D75" s="19">
        <f>BM!B57</f>
        <v/>
      </c>
      <c r="E75" s="32">
        <f>BM!J57</f>
        <v/>
      </c>
      <c r="F75" s="32">
        <f>BM!K57</f>
        <v/>
      </c>
      <c r="G75" s="32">
        <f>BM!H57</f>
        <v/>
      </c>
      <c r="H75" s="32">
        <f>BM!L57</f>
        <v/>
      </c>
      <c r="I75" s="19">
        <f>BM!M57</f>
        <v/>
      </c>
      <c r="J75" s="33">
        <f>BM!N57</f>
        <v/>
      </c>
    </row>
    <row r="76">
      <c r="A76" s="19" t="n">
        <v>73</v>
      </c>
      <c r="B76" s="30" t="inlineStr">
        <is>
          <t>BM</t>
        </is>
      </c>
      <c r="C76" s="31">
        <f>BM!A58</f>
        <v/>
      </c>
      <c r="D76" s="19">
        <f>BM!B58</f>
        <v/>
      </c>
      <c r="E76" s="32">
        <f>BM!J58</f>
        <v/>
      </c>
      <c r="F76" s="32">
        <f>BM!K58</f>
        <v/>
      </c>
      <c r="G76" s="32">
        <f>BM!H58</f>
        <v/>
      </c>
      <c r="H76" s="32">
        <f>BM!L58</f>
        <v/>
      </c>
      <c r="I76" s="19">
        <f>BM!M58</f>
        <v/>
      </c>
      <c r="J76" s="33">
        <f>BM!N58</f>
        <v/>
      </c>
    </row>
    <row r="77">
      <c r="A77" s="19" t="n">
        <v>74</v>
      </c>
      <c r="B77" s="30" t="inlineStr">
        <is>
          <t>BM</t>
        </is>
      </c>
      <c r="C77" s="31">
        <f>BM!A59</f>
        <v/>
      </c>
      <c r="D77" s="19">
        <f>BM!B59</f>
        <v/>
      </c>
      <c r="E77" s="32">
        <f>BM!J59</f>
        <v/>
      </c>
      <c r="F77" s="32">
        <f>BM!K59</f>
        <v/>
      </c>
      <c r="G77" s="32">
        <f>BM!H59</f>
        <v/>
      </c>
      <c r="H77" s="32">
        <f>BM!L59</f>
        <v/>
      </c>
      <c r="I77" s="19">
        <f>BM!M59</f>
        <v/>
      </c>
      <c r="J77" s="33">
        <f>BM!N59</f>
        <v/>
      </c>
    </row>
    <row r="78">
      <c r="A78" s="19" t="n">
        <v>75</v>
      </c>
      <c r="B78" s="30" t="inlineStr">
        <is>
          <t>BM</t>
        </is>
      </c>
      <c r="C78" s="31">
        <f>BM!A60</f>
        <v/>
      </c>
      <c r="D78" s="19">
        <f>BM!B60</f>
        <v/>
      </c>
      <c r="E78" s="32">
        <f>BM!J60</f>
        <v/>
      </c>
      <c r="F78" s="32">
        <f>BM!K60</f>
        <v/>
      </c>
      <c r="G78" s="32">
        <f>BM!H60</f>
        <v/>
      </c>
      <c r="H78" s="32">
        <f>BM!L60</f>
        <v/>
      </c>
      <c r="I78" s="19">
        <f>BM!M60</f>
        <v/>
      </c>
      <c r="J78" s="33">
        <f>BM!N60</f>
        <v/>
      </c>
    </row>
    <row r="79">
      <c r="A79" s="19" t="n">
        <v>76</v>
      </c>
      <c r="B79" s="30" t="inlineStr">
        <is>
          <t>BM</t>
        </is>
      </c>
      <c r="C79" s="31">
        <f>BM!A61</f>
        <v/>
      </c>
      <c r="D79" s="19">
        <f>BM!B61</f>
        <v/>
      </c>
      <c r="E79" s="32">
        <f>BM!J61</f>
        <v/>
      </c>
      <c r="F79" s="32">
        <f>BM!K61</f>
        <v/>
      </c>
      <c r="G79" s="32">
        <f>BM!H61</f>
        <v/>
      </c>
      <c r="H79" s="32">
        <f>BM!L61</f>
        <v/>
      </c>
      <c r="I79" s="19">
        <f>BM!M61</f>
        <v/>
      </c>
      <c r="J79" s="33">
        <f>BM!N61</f>
        <v/>
      </c>
    </row>
    <row r="80">
      <c r="A80" s="19" t="n">
        <v>77</v>
      </c>
      <c r="B80" s="30" t="inlineStr">
        <is>
          <t>BM</t>
        </is>
      </c>
      <c r="C80" s="31">
        <f>BM!A62</f>
        <v/>
      </c>
      <c r="D80" s="19">
        <f>BM!B62</f>
        <v/>
      </c>
      <c r="E80" s="32">
        <f>BM!J62</f>
        <v/>
      </c>
      <c r="F80" s="32">
        <f>BM!K62</f>
        <v/>
      </c>
      <c r="G80" s="32">
        <f>BM!H62</f>
        <v/>
      </c>
      <c r="H80" s="32">
        <f>BM!L62</f>
        <v/>
      </c>
      <c r="I80" s="19">
        <f>BM!M62</f>
        <v/>
      </c>
      <c r="J80" s="33">
        <f>BM!N62</f>
        <v/>
      </c>
    </row>
    <row r="81">
      <c r="A81" s="19" t="n">
        <v>78</v>
      </c>
      <c r="B81" s="30" t="inlineStr">
        <is>
          <t>BM</t>
        </is>
      </c>
      <c r="C81" s="31">
        <f>BM!A63</f>
        <v/>
      </c>
      <c r="D81" s="19">
        <f>BM!B63</f>
        <v/>
      </c>
      <c r="E81" s="32">
        <f>BM!J63</f>
        <v/>
      </c>
      <c r="F81" s="32">
        <f>BM!K63</f>
        <v/>
      </c>
      <c r="G81" s="32">
        <f>BM!H63</f>
        <v/>
      </c>
      <c r="H81" s="32">
        <f>BM!L63</f>
        <v/>
      </c>
      <c r="I81" s="19">
        <f>BM!M63</f>
        <v/>
      </c>
      <c r="J81" s="33">
        <f>BM!N63</f>
        <v/>
      </c>
    </row>
    <row r="82">
      <c r="A82" s="19" t="n">
        <v>79</v>
      </c>
      <c r="B82" s="30" t="inlineStr">
        <is>
          <t>BM</t>
        </is>
      </c>
      <c r="C82" s="31">
        <f>BM!A64</f>
        <v/>
      </c>
      <c r="D82" s="19">
        <f>BM!B64</f>
        <v/>
      </c>
      <c r="E82" s="32">
        <f>BM!J64</f>
        <v/>
      </c>
      <c r="F82" s="32">
        <f>BM!K64</f>
        <v/>
      </c>
      <c r="G82" s="32">
        <f>BM!H64</f>
        <v/>
      </c>
      <c r="H82" s="32">
        <f>BM!L64</f>
        <v/>
      </c>
      <c r="I82" s="19">
        <f>BM!M64</f>
        <v/>
      </c>
      <c r="J82" s="33">
        <f>BM!N64</f>
        <v/>
      </c>
    </row>
    <row r="83">
      <c r="A83" s="19" t="n">
        <v>80</v>
      </c>
      <c r="B83" s="30" t="inlineStr">
        <is>
          <t>BM</t>
        </is>
      </c>
      <c r="C83" s="31">
        <f>BM!A65</f>
        <v/>
      </c>
      <c r="D83" s="19">
        <f>BM!B65</f>
        <v/>
      </c>
      <c r="E83" s="32">
        <f>BM!J65</f>
        <v/>
      </c>
      <c r="F83" s="32">
        <f>BM!K65</f>
        <v/>
      </c>
      <c r="G83" s="32">
        <f>BM!H65</f>
        <v/>
      </c>
      <c r="H83" s="32">
        <f>BM!L65</f>
        <v/>
      </c>
      <c r="I83" s="19">
        <f>BM!M65</f>
        <v/>
      </c>
      <c r="J83" s="33">
        <f>BM!N65</f>
        <v/>
      </c>
    </row>
    <row r="84">
      <c r="A84" s="10" t="inlineStr">
        <is>
          <t>전사 평균</t>
        </is>
      </c>
      <c r="E84" s="34">
        <f>AVERAGE(E4:E83)</f>
        <v/>
      </c>
      <c r="F84" s="34">
        <f>AVERAGE(F4:F83)</f>
        <v/>
      </c>
      <c r="G84" s="34">
        <f>AVERAGE(G4:G83)</f>
        <v/>
      </c>
      <c r="H84" s="34">
        <f>AVERAGE(H4:H83)</f>
        <v/>
      </c>
      <c r="I84" s="10" t="inlineStr">
        <is>
          <t>-</t>
        </is>
      </c>
      <c r="J84" s="10" t="inlineStr">
        <is>
          <t>-</t>
        </is>
      </c>
    </row>
  </sheetData>
  <mergeCells count="4">
    <mergeCell ref="A1:J1"/>
    <mergeCell ref="A84:D84"/>
    <mergeCell ref="A2:D2"/>
    <mergeCell ref="E2:J2"/>
  </mergeCells>
  <conditionalFormatting sqref="I4:I8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📈 Dashboard — 전사 KPI 현황 (자동 연동, 실시간 계산)</t>
        </is>
      </c>
    </row>
    <row r="2">
      <c r="A2" s="25" t="inlineStr">
        <is>
          <t>🏠 사용안내로 이동</t>
        </is>
      </c>
      <c r="E2" s="25" t="inlineStr">
        <is>
          <t>📊 전사_종합요약 보기</t>
        </is>
      </c>
    </row>
    <row r="4" ht="20" customHeight="1">
      <c r="A4" s="35" t="inlineStr">
        <is>
          <t>전사 평균 종합점수</t>
        </is>
      </c>
      <c r="D4" s="35" t="inlineStr">
        <is>
          <t>등록된 인원 수</t>
        </is>
      </c>
      <c r="G4" s="35" t="inlineStr">
        <is>
          <t>S등급 인원</t>
        </is>
      </c>
      <c r="J4" s="35" t="inlineStr">
        <is>
          <t>D등급 인원(PIP 대상)</t>
        </is>
      </c>
    </row>
    <row r="5" ht="34" customHeight="1">
      <c r="A5" s="36">
        <f>전사_종합요약!H84</f>
        <v/>
      </c>
      <c r="D5" s="37">
        <f>COUNTIF(전사_종합요약!$C$4:$C$83,"?*")</f>
        <v/>
      </c>
      <c r="G5" s="37">
        <f>COUNTIF(전사_종합요약!$I$4:$I$83,"S")</f>
        <v/>
      </c>
      <c r="J5" s="37">
        <f>COUNTIF(전사_종합요약!$I$4:$I$83,"D")</f>
        <v/>
      </c>
    </row>
    <row r="7">
      <c r="A7" s="6" t="inlineStr">
        <is>
          <t>📎 차트 원본 데이터 (자동계산 — 수정하지 마세요)</t>
        </is>
      </c>
    </row>
    <row r="8">
      <c r="A8" s="38" t="inlineStr">
        <is>
          <t>팀</t>
        </is>
      </c>
      <c r="B8" s="38" t="inlineStr">
        <is>
          <t>결과지표
평균</t>
        </is>
      </c>
      <c r="C8" s="38" t="inlineStr">
        <is>
          <t>개별성과
평균</t>
        </is>
      </c>
      <c r="D8" s="38" t="inlineStr">
        <is>
          <t>역량평가
평균</t>
        </is>
      </c>
      <c r="E8" s="38" t="inlineStr">
        <is>
          <t>종합점수
평균</t>
        </is>
      </c>
      <c r="F8" s="38" t="inlineStr">
        <is>
          <t>등록
인원수</t>
        </is>
      </c>
      <c r="H8" s="38" t="inlineStr">
        <is>
          <t>등급</t>
        </is>
      </c>
      <c r="I8" s="38" t="inlineStr">
        <is>
          <t>인원수</t>
        </is>
      </c>
    </row>
    <row r="9">
      <c r="A9" s="39" t="inlineStr">
        <is>
          <t>Research</t>
        </is>
      </c>
      <c r="B9" s="32">
        <f>AVERAGEIF(전사_종합요약!$B$4:$B$83,A9,전사_종합요약!$E$4:$E$83)</f>
        <v/>
      </c>
      <c r="C9" s="32">
        <f>AVERAGEIF(전사_종합요약!$B$4:$B$83,A9,전사_종합요약!$F$4:$F$83)</f>
        <v/>
      </c>
      <c r="D9" s="32">
        <f>AVERAGEIF(전사_종합요약!$B$4:$B$83,A9,전사_종합요약!$G$4:$G$83)</f>
        <v/>
      </c>
      <c r="E9" s="32">
        <f>AVERAGEIF(전사_종합요약!$B$4:$B$83,A9,전사_종합요약!$H$4:$H$83)</f>
        <v/>
      </c>
      <c r="F9" s="40">
        <f>COUNTIFS(전사_종합요약!$B$4:$B$83,A9,전사_종합요약!$C$4:$C$83,"?*")</f>
        <v/>
      </c>
      <c r="H9" s="41" t="inlineStr">
        <is>
          <t>S</t>
        </is>
      </c>
      <c r="I9" s="42">
        <f>COUNTIF(전사_종합요약!$I$4:$I$83,"S")</f>
        <v/>
      </c>
    </row>
    <row r="10">
      <c r="A10" s="39" t="inlineStr">
        <is>
          <t>PS</t>
        </is>
      </c>
      <c r="B10" s="32">
        <f>AVERAGEIF(전사_종합요약!$B$4:$B$83,A10,전사_종합요약!$E$4:$E$83)</f>
        <v/>
      </c>
      <c r="C10" s="32">
        <f>AVERAGEIF(전사_종합요약!$B$4:$B$83,A10,전사_종합요약!$F$4:$F$83)</f>
        <v/>
      </c>
      <c r="D10" s="32">
        <f>AVERAGEIF(전사_종합요약!$B$4:$B$83,A10,전사_종합요약!$G$4:$G$83)</f>
        <v/>
      </c>
      <c r="E10" s="32">
        <f>AVERAGEIF(전사_종합요약!$B$4:$B$83,A10,전사_종합요약!$H$4:$H$83)</f>
        <v/>
      </c>
      <c r="F10" s="40">
        <f>COUNTIFS(전사_종합요약!$B$4:$B$83,A10,전사_종합요약!$C$4:$C$83,"?*")</f>
        <v/>
      </c>
      <c r="H10" s="43" t="inlineStr">
        <is>
          <t>A</t>
        </is>
      </c>
      <c r="I10" s="44">
        <f>COUNTIF(전사_종합요약!$I$4:$I$83,"A")</f>
        <v/>
      </c>
    </row>
    <row r="11">
      <c r="A11" s="39" t="inlineStr">
        <is>
          <t>BD</t>
        </is>
      </c>
      <c r="B11" s="32">
        <f>AVERAGEIF(전사_종합요약!$B$4:$B$83,A11,전사_종합요약!$E$4:$E$83)</f>
        <v/>
      </c>
      <c r="C11" s="32">
        <f>AVERAGEIF(전사_종합요약!$B$4:$B$83,A11,전사_종합요약!$F$4:$F$83)</f>
        <v/>
      </c>
      <c r="D11" s="32">
        <f>AVERAGEIF(전사_종합요약!$B$4:$B$83,A11,전사_종합요약!$G$4:$G$83)</f>
        <v/>
      </c>
      <c r="E11" s="32">
        <f>AVERAGEIF(전사_종합요약!$B$4:$B$83,A11,전사_종합요약!$H$4:$H$83)</f>
        <v/>
      </c>
      <c r="F11" s="40">
        <f>COUNTIFS(전사_종합요약!$B$4:$B$83,A11,전사_종합요약!$C$4:$C$83,"?*")</f>
        <v/>
      </c>
      <c r="H11" s="45" t="inlineStr">
        <is>
          <t>B</t>
        </is>
      </c>
      <c r="I11" s="46">
        <f>COUNTIF(전사_종합요약!$I$4:$I$83,"B")</f>
        <v/>
      </c>
    </row>
    <row r="12">
      <c r="A12" s="39" t="inlineStr">
        <is>
          <t>PB</t>
        </is>
      </c>
      <c r="B12" s="32">
        <f>AVERAGEIF(전사_종합요약!$B$4:$B$83,A12,전사_종합요약!$E$4:$E$83)</f>
        <v/>
      </c>
      <c r="C12" s="32">
        <f>AVERAGEIF(전사_종합요약!$B$4:$B$83,A12,전사_종합요약!$F$4:$F$83)</f>
        <v/>
      </c>
      <c r="D12" s="32">
        <f>AVERAGEIF(전사_종합요약!$B$4:$B$83,A12,전사_종합요약!$G$4:$G$83)</f>
        <v/>
      </c>
      <c r="E12" s="32">
        <f>AVERAGEIF(전사_종합요약!$B$4:$B$83,A12,전사_종합요약!$H$4:$H$83)</f>
        <v/>
      </c>
      <c r="F12" s="40">
        <f>COUNTIFS(전사_종합요약!$B$4:$B$83,A12,전사_종합요약!$C$4:$C$83,"?*")</f>
        <v/>
      </c>
      <c r="H12" s="47" t="inlineStr">
        <is>
          <t>C</t>
        </is>
      </c>
      <c r="I12" s="48">
        <f>COUNTIF(전사_종합요약!$I$4:$I$83,"C")</f>
        <v/>
      </c>
    </row>
    <row r="13">
      <c r="A13" s="39" t="inlineStr">
        <is>
          <t>BM</t>
        </is>
      </c>
      <c r="B13" s="32">
        <f>AVERAGEIF(전사_종합요약!$B$4:$B$83,A13,전사_종합요약!$E$4:$E$83)</f>
        <v/>
      </c>
      <c r="C13" s="32">
        <f>AVERAGEIF(전사_종합요약!$B$4:$B$83,A13,전사_종합요약!$F$4:$F$83)</f>
        <v/>
      </c>
      <c r="D13" s="32">
        <f>AVERAGEIF(전사_종합요약!$B$4:$B$83,A13,전사_종합요약!$G$4:$G$83)</f>
        <v/>
      </c>
      <c r="E13" s="32">
        <f>AVERAGEIF(전사_종합요약!$B$4:$B$83,A13,전사_종합요약!$H$4:$H$83)</f>
        <v/>
      </c>
      <c r="F13" s="40">
        <f>COUNTIFS(전사_종합요약!$B$4:$B$83,A13,전사_종합요약!$C$4:$C$83,"?*")</f>
        <v/>
      </c>
      <c r="H13" s="49" t="inlineStr">
        <is>
          <t>D</t>
        </is>
      </c>
      <c r="I13" s="50">
        <f>COUNTIF(전사_종합요약!$I$4:$I$83,"D")</f>
        <v/>
      </c>
    </row>
  </sheetData>
  <mergeCells count="12">
    <mergeCell ref="J5:L5"/>
    <mergeCell ref="A7:L7"/>
    <mergeCell ref="D5:F5"/>
    <mergeCell ref="A5:C5"/>
    <mergeCell ref="G5:I5"/>
    <mergeCell ref="A1:L1"/>
    <mergeCell ref="D4:F4"/>
    <mergeCell ref="E2:L2"/>
    <mergeCell ref="G4:I4"/>
    <mergeCell ref="J4:L4"/>
    <mergeCell ref="A2:D2"/>
    <mergeCell ref="A4:C4"/>
  </mergeCells>
  <hyperlinks>
    <hyperlink xmlns:r="http://schemas.openxmlformats.org/officeDocument/2006/relationships" ref="A2" r:id="rId1"/>
    <hyperlink xmlns:r="http://schemas.openxmlformats.org/officeDocument/2006/relationships" ref="E2" r:id="rId2"/>
  </hyperlinks>
  <pageMargins left="0.75" right="0.75" top="1" bottom="1" header="0.5" footer="0.5"/>
  <drawing xmlns:r="http://schemas.openxmlformats.org/officeDocument/2006/relationships" r:id="rId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26" customWidth="1" min="14" max="14"/>
    <col width="18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25" t="inlineStr">
        <is>
          <t>🏠 사용안내로 이동</t>
        </is>
      </c>
      <c r="E1" s="25" t="inlineStr">
        <is>
          <t>📊 전사 종합요약 보기</t>
        </is>
      </c>
    </row>
    <row r="2" ht="46" customHeight="1">
      <c r="A2" s="24" t="inlineStr">
        <is>
          <t>Research — Omelet의 Problem-Solving Capability 발전에 책임   |   ✏️ 이 시트는 잠금이 해제되어 모든 셀을 수정할 수 있습니다. 노란 셀=입력용, 회색 셀=자동계산 수식, 하늘색 셀=고정 항목이니 참고해서 편집하세요. ①결과지표 ②개별성과 ③역량평가+종합 표가 위에서 아래로 나열되어 있으며, 이름·직책은 ①표에 입력하면 ②③표에 자동으로 채워집니다(직접 고쳐도 되지만 그러면 자동연동이 끊깁니다).</t>
        </is>
      </c>
    </row>
    <row r="4">
      <c r="A4" s="4" t="inlineStr">
        <is>
          <t>① 결과지표 · 팀 공동 (50점)</t>
        </is>
      </c>
    </row>
    <row r="5" ht="24" customHeight="1">
      <c r="A5" s="4" t="inlineStr">
        <is>
          <t>이름</t>
        </is>
      </c>
      <c r="B5" s="4" t="inlineStr">
        <is>
          <t>직책</t>
        </is>
      </c>
      <c r="C5" s="4" t="inlineStr">
        <is>
          <t>실적</t>
        </is>
      </c>
      <c r="D5" s="4" t="inlineStr">
        <is>
          <t>목표</t>
        </is>
      </c>
      <c r="E5" s="4" t="inlineStr">
        <is>
          <t>달성률</t>
        </is>
      </c>
      <c r="F5" s="4" t="inlineStr">
        <is>
          <t>점수
(50)</t>
        </is>
      </c>
      <c r="G5" s="4" t="inlineStr">
        <is>
          <t>등급</t>
        </is>
      </c>
    </row>
    <row r="6">
      <c r="A6" s="51" t="inlineStr">
        <is>
          <t>홍길동(예시)</t>
        </is>
      </c>
      <c r="B6" s="52" t="inlineStr">
        <is>
          <t>팀리더</t>
        </is>
      </c>
      <c r="C6" s="40">
        <f>SUM(C7:C21)</f>
        <v/>
      </c>
      <c r="D6" s="53" t="n">
        <v>5</v>
      </c>
      <c r="E6" s="54">
        <f>IF(D6=0,"",C6/D6)</f>
        <v/>
      </c>
      <c r="F6" s="32">
        <f>IF(E6="","",MIN(E6*50,50))</f>
        <v/>
      </c>
      <c r="G6" s="19">
        <f>IF(F6="","",_xlfn.IFS(F6&gt;=48,"S",F6&gt;=45,"A",F6&gt;=42,"B",F6&gt;=38,"C",TRUE,"D"))</f>
        <v/>
      </c>
    </row>
    <row r="7">
      <c r="A7" s="51" t="inlineStr">
        <is>
          <t>김하나(예시)</t>
        </is>
      </c>
      <c r="B7" s="19" t="inlineStr">
        <is>
          <t>팀원</t>
        </is>
      </c>
      <c r="C7" s="55" t="n">
        <v>6</v>
      </c>
      <c r="D7" s="55" t="n">
        <v>5</v>
      </c>
      <c r="E7" s="54">
        <f>IF(OR(A7="",D7=""),"",C7/D7)</f>
        <v/>
      </c>
      <c r="F7" s="32">
        <f>IF(A7="","",F6)</f>
        <v/>
      </c>
      <c r="G7" s="19">
        <f>IF(A7="","",G6)</f>
        <v/>
      </c>
    </row>
    <row r="8">
      <c r="A8" s="51" t="inlineStr">
        <is>
          <t>이몽룡(예시)</t>
        </is>
      </c>
      <c r="B8" s="19" t="inlineStr">
        <is>
          <t>팀원</t>
        </is>
      </c>
      <c r="C8" s="55" t="n">
        <v>5</v>
      </c>
      <c r="D8" s="55" t="n">
        <v>5</v>
      </c>
      <c r="E8" s="54">
        <f>IF(OR(A8="",D8=""),"",C8/D8)</f>
        <v/>
      </c>
      <c r="F8" s="32">
        <f>IF(A8="","",F6)</f>
        <v/>
      </c>
      <c r="G8" s="19">
        <f>IF(A8="","",G6)</f>
        <v/>
      </c>
    </row>
    <row r="9">
      <c r="A9" s="51" t="inlineStr">
        <is>
          <t>박문수(예시)</t>
        </is>
      </c>
      <c r="B9" s="19" t="inlineStr">
        <is>
          <t>팀원</t>
        </is>
      </c>
      <c r="C9" s="55" t="n">
        <v>5</v>
      </c>
      <c r="D9" s="55" t="n">
        <v>5</v>
      </c>
      <c r="E9" s="54">
        <f>IF(OR(A9="",D9=""),"",C9/D9)</f>
        <v/>
      </c>
      <c r="F9" s="32">
        <f>IF(A9="","",F6)</f>
        <v/>
      </c>
      <c r="G9" s="19">
        <f>IF(A9="","",G6)</f>
        <v/>
      </c>
    </row>
    <row r="10">
      <c r="A10" s="51" t="inlineStr">
        <is>
          <t>최유리(예시)</t>
        </is>
      </c>
      <c r="B10" s="19" t="inlineStr">
        <is>
          <t>팀원</t>
        </is>
      </c>
      <c r="C10" s="55" t="n">
        <v>4</v>
      </c>
      <c r="D10" s="55" t="n">
        <v>5</v>
      </c>
      <c r="E10" s="54">
        <f>IF(OR(A10="",D10=""),"",C10/D10)</f>
        <v/>
      </c>
      <c r="F10" s="32">
        <f>IF(A10="","",F6)</f>
        <v/>
      </c>
      <c r="G10" s="19">
        <f>IF(A10="","",G6)</f>
        <v/>
      </c>
    </row>
    <row r="11">
      <c r="A11" s="51" t="inlineStr">
        <is>
          <t>정다솜(예시)</t>
        </is>
      </c>
      <c r="B11" s="19" t="inlineStr">
        <is>
          <t>팀원</t>
        </is>
      </c>
      <c r="C11" s="55" t="n">
        <v>4</v>
      </c>
      <c r="D11" s="55" t="n">
        <v>5</v>
      </c>
      <c r="E11" s="54">
        <f>IF(OR(A11="",D11=""),"",C11/D11)</f>
        <v/>
      </c>
      <c r="F11" s="32">
        <f>IF(A11="","",F6)</f>
        <v/>
      </c>
      <c r="G11" s="19">
        <f>IF(A11="","",G6)</f>
        <v/>
      </c>
    </row>
    <row r="12">
      <c r="A12" s="51" t="inlineStr">
        <is>
          <t>강도윤(예시)</t>
        </is>
      </c>
      <c r="B12" s="19" t="inlineStr">
        <is>
          <t>팀원</t>
        </is>
      </c>
      <c r="C12" s="55" t="n">
        <v>4</v>
      </c>
      <c r="D12" s="55" t="n">
        <v>5</v>
      </c>
      <c r="E12" s="54">
        <f>IF(OR(A12="",D12=""),"",C12/D12)</f>
        <v/>
      </c>
      <c r="F12" s="32">
        <f>IF(A12="","",F6)</f>
        <v/>
      </c>
      <c r="G12" s="19">
        <f>IF(A12="","",G6)</f>
        <v/>
      </c>
    </row>
    <row r="13">
      <c r="A13" s="51" t="inlineStr">
        <is>
          <t>윤서연(예시)</t>
        </is>
      </c>
      <c r="B13" s="19" t="inlineStr">
        <is>
          <t>팀원</t>
        </is>
      </c>
      <c r="C13" s="55" t="n">
        <v>3</v>
      </c>
      <c r="D13" s="55" t="n">
        <v>5</v>
      </c>
      <c r="E13" s="54">
        <f>IF(OR(A13="",D13=""),"",C13/D13)</f>
        <v/>
      </c>
      <c r="F13" s="32">
        <f>IF(A13="","",F6)</f>
        <v/>
      </c>
      <c r="G13" s="19">
        <f>IF(A13="","",G6)</f>
        <v/>
      </c>
    </row>
    <row r="14">
      <c r="A14" s="51" t="inlineStr">
        <is>
          <t>임하은(예시)</t>
        </is>
      </c>
      <c r="B14" s="19" t="inlineStr">
        <is>
          <t>팀원</t>
        </is>
      </c>
      <c r="C14" s="55" t="n">
        <v>3</v>
      </c>
      <c r="D14" s="55" t="n">
        <v>5</v>
      </c>
      <c r="E14" s="54">
        <f>IF(OR(A14="",D14=""),"",C14/D14)</f>
        <v/>
      </c>
      <c r="F14" s="32">
        <f>IF(A14="","",F6)</f>
        <v/>
      </c>
      <c r="G14" s="19">
        <f>IF(A14="","",G6)</f>
        <v/>
      </c>
    </row>
    <row r="15">
      <c r="A15" s="51" t="inlineStr">
        <is>
          <t>조지훈(예시)</t>
        </is>
      </c>
      <c r="B15" s="19" t="inlineStr">
        <is>
          <t>팀원</t>
        </is>
      </c>
      <c r="C15" s="55" t="n">
        <v>2</v>
      </c>
      <c r="D15" s="55" t="n">
        <v>5</v>
      </c>
      <c r="E15" s="54">
        <f>IF(OR(A15="",D15=""),"",C15/D15)</f>
        <v/>
      </c>
      <c r="F15" s="32">
        <f>IF(A15="","",F6)</f>
        <v/>
      </c>
      <c r="G15" s="19">
        <f>IF(A15="","",G6)</f>
        <v/>
      </c>
    </row>
    <row r="16">
      <c r="A16" s="51" t="inlineStr">
        <is>
          <t>한수아(예시)</t>
        </is>
      </c>
      <c r="B16" s="19" t="inlineStr">
        <is>
          <t>팀원</t>
        </is>
      </c>
      <c r="C16" s="55" t="n">
        <v>2</v>
      </c>
      <c r="D16" s="55" t="n">
        <v>5</v>
      </c>
      <c r="E16" s="54">
        <f>IF(OR(A16="",D16=""),"",C16/D16)</f>
        <v/>
      </c>
      <c r="F16" s="32">
        <f>IF(A16="","",F6)</f>
        <v/>
      </c>
      <c r="G16" s="19">
        <f>IF(A16="","",G6)</f>
        <v/>
      </c>
    </row>
    <row r="17">
      <c r="A17" s="51" t="n"/>
      <c r="B17" s="19" t="inlineStr">
        <is>
          <t>팀원</t>
        </is>
      </c>
      <c r="C17" s="55" t="n"/>
      <c r="D17" s="55" t="n"/>
      <c r="E17" s="54">
        <f>IF(OR(A17="",D17=""),"",C17/D17)</f>
        <v/>
      </c>
      <c r="F17" s="32">
        <f>IF(A17="","",F6)</f>
        <v/>
      </c>
      <c r="G17" s="19">
        <f>IF(A17="","",G6)</f>
        <v/>
      </c>
    </row>
    <row r="18">
      <c r="A18" s="51" t="n"/>
      <c r="B18" s="19" t="inlineStr">
        <is>
          <t>팀원</t>
        </is>
      </c>
      <c r="C18" s="55" t="n"/>
      <c r="D18" s="55" t="n"/>
      <c r="E18" s="54">
        <f>IF(OR(A18="",D18=""),"",C18/D18)</f>
        <v/>
      </c>
      <c r="F18" s="32">
        <f>IF(A18="","",F6)</f>
        <v/>
      </c>
      <c r="G18" s="19">
        <f>IF(A18="","",G6)</f>
        <v/>
      </c>
    </row>
    <row r="19">
      <c r="A19" s="51" t="n"/>
      <c r="B19" s="19" t="inlineStr">
        <is>
          <t>팀원</t>
        </is>
      </c>
      <c r="C19" s="55" t="n"/>
      <c r="D19" s="55" t="n"/>
      <c r="E19" s="54">
        <f>IF(OR(A19="",D19=""),"",C19/D19)</f>
        <v/>
      </c>
      <c r="F19" s="32">
        <f>IF(A19="","",F6)</f>
        <v/>
      </c>
      <c r="G19" s="19">
        <f>IF(A19="","",G6)</f>
        <v/>
      </c>
    </row>
    <row r="20">
      <c r="A20" s="51" t="n"/>
      <c r="B20" s="19" t="inlineStr">
        <is>
          <t>팀원</t>
        </is>
      </c>
      <c r="C20" s="55" t="n"/>
      <c r="D20" s="55" t="n"/>
      <c r="E20" s="54">
        <f>IF(OR(A20="",D20=""),"",C20/D20)</f>
        <v/>
      </c>
      <c r="F20" s="32">
        <f>IF(A20="","",F6)</f>
        <v/>
      </c>
      <c r="G20" s="19">
        <f>IF(A20="","",G6)</f>
        <v/>
      </c>
    </row>
    <row r="21">
      <c r="A21" s="51" t="n"/>
      <c r="B21" s="19" t="inlineStr">
        <is>
          <t>팀원</t>
        </is>
      </c>
      <c r="C21" s="55" t="n"/>
      <c r="D21" s="55" t="n"/>
      <c r="E21" s="54">
        <f>IF(OR(A21="",D21=""),"",C21/D21)</f>
        <v/>
      </c>
      <c r="F21" s="32">
        <f>IF(A21="","",F6)</f>
        <v/>
      </c>
      <c r="G21" s="19">
        <f>IF(A21="","",G6)</f>
        <v/>
      </c>
    </row>
    <row r="22">
      <c r="A22" s="10" t="inlineStr">
        <is>
          <t>팀 평균 / 합계</t>
        </is>
      </c>
      <c r="C22" s="56">
        <f>SUM(C7:C21)</f>
        <v/>
      </c>
      <c r="D22" s="10" t="inlineStr">
        <is>
          <t>-</t>
        </is>
      </c>
      <c r="E22" s="10" t="inlineStr">
        <is>
          <t>-</t>
        </is>
      </c>
      <c r="F22" s="34">
        <f>F6</f>
        <v/>
      </c>
      <c r="G22" s="10">
        <f>G6</f>
        <v/>
      </c>
    </row>
    <row r="24">
      <c r="A24" s="6" t="inlineStr">
        <is>
          <t>② 개별성과 · 정량 (과정지표Ⅰ, 20점)</t>
        </is>
      </c>
    </row>
    <row r="25" ht="30" customHeight="1">
      <c r="A25" s="2" t="inlineStr">
        <is>
          <t>이름
(①표 자동)</t>
        </is>
      </c>
      <c r="B25" s="2" t="inlineStr">
        <is>
          <t>직책
(①표 자동)</t>
        </is>
      </c>
      <c r="C25" s="57" t="inlineStr">
        <is>
          <t>1. Capability Gap 발굴
&amp; Technical Advancement</t>
        </is>
      </c>
      <c r="F25" s="57" t="inlineStr">
        <is>
          <t>2. Rigorous Validation
&amp; Transfer/Adoption</t>
        </is>
      </c>
      <c r="I25" s="58" t="inlineStr">
        <is>
          <t>3. (예시) 알고리즘 모듈 개발</t>
        </is>
      </c>
      <c r="L25" s="58" t="inlineStr">
        <is>
          <t>4. (예시) PB 기술자문 지원</t>
        </is>
      </c>
      <c r="O25" s="58" t="inlineStr">
        <is>
          <t>5. (예시) 기술문서 자산화</t>
        </is>
      </c>
      <c r="R25" s="6" t="inlineStr">
        <is>
          <t>소계
(20)</t>
        </is>
      </c>
      <c r="S25" s="6" t="inlineStr">
        <is>
          <t>등급</t>
        </is>
      </c>
    </row>
    <row r="26" ht="42" customHeight="1">
      <c r="C26" s="59" t="inlineStr">
        <is>
          <t>[대표 원칙 고정] 신규 리서치 문제 정의 건수 + 벤치마크 성능 개선 건수를 합산 관리
계산 예시: 실적 4건 ÷ 목표 5건 × 4점 = 3.2점</t>
        </is>
      </c>
      <c r="F26" s="59" t="inlineStr">
        <is>
          <t>[대표 원칙 고정] 재현 가능한 검증 리포트 건수 + PS/PB/Solver/OCP 이관 완료 건수
계산 예시: 실적 3건 ÷ 목표 4건 × 4점 = 3.0점</t>
        </is>
      </c>
      <c r="I26" s="21" t="inlineStr">
        <is>
          <t>이 항목명은 예시입니다. 팀 고유 KPI로 교체하세요.
계산식 예시: 실적 ÷ 목표 × 4점 = 점수</t>
        </is>
      </c>
      <c r="L26" s="21" t="inlineStr">
        <is>
          <t>이 항목명은 예시입니다. 팀 고유 KPI로 교체하세요.
계산식 예시: 실적 ÷ 목표 × 4점 = 점수</t>
        </is>
      </c>
      <c r="O26" s="21" t="inlineStr">
        <is>
          <t>이 항목명은 예시입니다. 팀 고유 KPI로 교체하세요.
계산식 예시: 실적 ÷ 목표 × 4점 = 점수</t>
        </is>
      </c>
    </row>
    <row r="27" ht="22" customHeight="1">
      <c r="C27" s="60" t="inlineStr">
        <is>
          <t>실적</t>
        </is>
      </c>
      <c r="D27" s="60" t="inlineStr">
        <is>
          <t>목표</t>
        </is>
      </c>
      <c r="E27" s="60" t="inlineStr">
        <is>
          <t>점수
(4)</t>
        </is>
      </c>
      <c r="F27" s="60" t="inlineStr">
        <is>
          <t>실적</t>
        </is>
      </c>
      <c r="G27" s="60" t="inlineStr">
        <is>
          <t>목표</t>
        </is>
      </c>
      <c r="H27" s="60" t="inlineStr">
        <is>
          <t>점수
(4)</t>
        </is>
      </c>
      <c r="I27" s="60" t="inlineStr">
        <is>
          <t>실적</t>
        </is>
      </c>
      <c r="J27" s="60" t="inlineStr">
        <is>
          <t>목표</t>
        </is>
      </c>
      <c r="K27" s="60" t="inlineStr">
        <is>
          <t>점수
(4)</t>
        </is>
      </c>
      <c r="L27" s="60" t="inlineStr">
        <is>
          <t>실적</t>
        </is>
      </c>
      <c r="M27" s="60" t="inlineStr">
        <is>
          <t>목표</t>
        </is>
      </c>
      <c r="N27" s="60" t="inlineStr">
        <is>
          <t>점수
(4)</t>
        </is>
      </c>
      <c r="O27" s="60" t="inlineStr">
        <is>
          <t>실적</t>
        </is>
      </c>
      <c r="P27" s="60" t="inlineStr">
        <is>
          <t>목표</t>
        </is>
      </c>
      <c r="Q27" s="60" t="inlineStr">
        <is>
          <t>점수
(4)</t>
        </is>
      </c>
    </row>
    <row r="28" ht="30" customHeight="1">
      <c r="A28" s="33">
        <f>IF(A6="","",A6)</f>
        <v/>
      </c>
      <c r="B28" s="19">
        <f>B6</f>
        <v/>
      </c>
      <c r="C28" s="61" t="inlineStr">
        <is>
          <t>팀리더는 개별성과(정량) 항목 해당 없음 — 팀 결과지표·역량평가 중심으로 평가</t>
        </is>
      </c>
    </row>
    <row r="29">
      <c r="A29" s="33">
        <f>IF(A7="","",A7)</f>
        <v/>
      </c>
      <c r="B29" s="19">
        <f>B7</f>
        <v/>
      </c>
      <c r="C29" s="55" t="n">
        <v>6</v>
      </c>
      <c r="D29" s="55" t="n">
        <v>5</v>
      </c>
      <c r="E29" s="32">
        <f>IF(OR(A29="",D29="",D29=0),"",MIN(C29/D29*4,4))</f>
        <v/>
      </c>
      <c r="F29" s="55" t="n">
        <v>4</v>
      </c>
      <c r="G29" s="55" t="n">
        <v>4</v>
      </c>
      <c r="H29" s="32">
        <f>IF(OR(A29="",G29="",G29=0),"",MIN(F29/G29*4,4))</f>
        <v/>
      </c>
      <c r="I29" s="55" t="n">
        <v>4</v>
      </c>
      <c r="J29" s="55" t="n">
        <v>4</v>
      </c>
      <c r="K29" s="32">
        <f>IF(OR(A29="",J29="",J29=0),"",MIN(I29/J29*4,4))</f>
        <v/>
      </c>
      <c r="L29" s="55" t="n">
        <v>4</v>
      </c>
      <c r="M29" s="55" t="n">
        <v>4</v>
      </c>
      <c r="N29" s="32">
        <f>IF(OR(A29="",M29="",M29=0),"",MIN(L29/M29*4,4))</f>
        <v/>
      </c>
      <c r="O29" s="55" t="n">
        <v>3</v>
      </c>
      <c r="P29" s="55" t="n">
        <v>3</v>
      </c>
      <c r="Q29" s="32">
        <f>IF(OR(A29="",P29="",P29=0),"",MIN(O29/P29*4,4))</f>
        <v/>
      </c>
      <c r="R29" s="32">
        <f>IF(A29="","",SUM(E29,H29,K29,N29,Q29))</f>
        <v/>
      </c>
      <c r="S29" s="19">
        <f>IF(R29="","",_xlfn.IFS(R29&gt;=18,"S",R29&gt;=16,"A",R29&gt;=14,"B",R29&gt;=11,"C",TRUE,"D"))</f>
        <v/>
      </c>
    </row>
    <row r="30">
      <c r="A30" s="33">
        <f>IF(A8="","",A8)</f>
        <v/>
      </c>
      <c r="B30" s="19">
        <f>B8</f>
        <v/>
      </c>
      <c r="C30" s="55" t="n">
        <v>5</v>
      </c>
      <c r="D30" s="55" t="n">
        <v>5</v>
      </c>
      <c r="E30" s="32">
        <f>IF(OR(A30="",D30="",D30=0),"",MIN(C30/D30*4,4))</f>
        <v/>
      </c>
      <c r="F30" s="55" t="n">
        <v>4</v>
      </c>
      <c r="G30" s="55" t="n">
        <v>4</v>
      </c>
      <c r="H30" s="32">
        <f>IF(OR(A30="",G30="",G30=0),"",MIN(F30/G30*4,4))</f>
        <v/>
      </c>
      <c r="I30" s="55" t="n">
        <v>4</v>
      </c>
      <c r="J30" s="55" t="n">
        <v>4</v>
      </c>
      <c r="K30" s="32">
        <f>IF(OR(A30="",J30="",J30=0),"",MIN(I30/J30*4,4))</f>
        <v/>
      </c>
      <c r="L30" s="55" t="n">
        <v>4</v>
      </c>
      <c r="M30" s="55" t="n">
        <v>4</v>
      </c>
      <c r="N30" s="32">
        <f>IF(OR(A30="",M30="",M30=0),"",MIN(L30/M30*4,4))</f>
        <v/>
      </c>
      <c r="O30" s="55" t="n">
        <v>3</v>
      </c>
      <c r="P30" s="55" t="n">
        <v>3</v>
      </c>
      <c r="Q30" s="32">
        <f>IF(OR(A30="",P30="",P30=0),"",MIN(O30/P30*4,4))</f>
        <v/>
      </c>
      <c r="R30" s="32">
        <f>IF(A30="","",SUM(E30,H30,K30,N30,Q30))</f>
        <v/>
      </c>
      <c r="S30" s="19">
        <f>IF(R30="","",_xlfn.IFS(R30&gt;=18,"S",R30&gt;=16,"A",R30&gt;=14,"B",R30&gt;=11,"C",TRUE,"D"))</f>
        <v/>
      </c>
    </row>
    <row r="31">
      <c r="A31" s="33">
        <f>IF(A9="","",A9)</f>
        <v/>
      </c>
      <c r="B31" s="19">
        <f>B9</f>
        <v/>
      </c>
      <c r="C31" s="55" t="n">
        <v>5</v>
      </c>
      <c r="D31" s="55" t="n">
        <v>5</v>
      </c>
      <c r="E31" s="32">
        <f>IF(OR(A31="",D31="",D31=0),"",MIN(C31/D31*4,4))</f>
        <v/>
      </c>
      <c r="F31" s="55" t="n">
        <v>4</v>
      </c>
      <c r="G31" s="55" t="n">
        <v>4</v>
      </c>
      <c r="H31" s="32">
        <f>IF(OR(A31="",G31="",G31=0),"",MIN(F31/G31*4,4))</f>
        <v/>
      </c>
      <c r="I31" s="55" t="n">
        <v>4</v>
      </c>
      <c r="J31" s="55" t="n">
        <v>4</v>
      </c>
      <c r="K31" s="32">
        <f>IF(OR(A31="",J31="",J31=0),"",MIN(I31/J31*4,4))</f>
        <v/>
      </c>
      <c r="L31" s="55" t="n">
        <v>4</v>
      </c>
      <c r="M31" s="55" t="n">
        <v>4</v>
      </c>
      <c r="N31" s="32">
        <f>IF(OR(A31="",M31="",M31=0),"",MIN(L31/M31*4,4))</f>
        <v/>
      </c>
      <c r="O31" s="55" t="n">
        <v>3</v>
      </c>
      <c r="P31" s="55" t="n">
        <v>3</v>
      </c>
      <c r="Q31" s="32">
        <f>IF(OR(A31="",P31="",P31=0),"",MIN(O31/P31*4,4))</f>
        <v/>
      </c>
      <c r="R31" s="32">
        <f>IF(A31="","",SUM(E31,H31,K31,N31,Q31))</f>
        <v/>
      </c>
      <c r="S31" s="19">
        <f>IF(R31="","",_xlfn.IFS(R31&gt;=18,"S",R31&gt;=16,"A",R31&gt;=14,"B",R31&gt;=11,"C",TRUE,"D"))</f>
        <v/>
      </c>
    </row>
    <row r="32">
      <c r="A32" s="33">
        <f>IF(A10="","",A10)</f>
        <v/>
      </c>
      <c r="B32" s="19">
        <f>B10</f>
        <v/>
      </c>
      <c r="C32" s="55" t="n">
        <v>4</v>
      </c>
      <c r="D32" s="55" t="n">
        <v>5</v>
      </c>
      <c r="E32" s="32">
        <f>IF(OR(A32="",D32="",D32=0),"",MIN(C32/D32*4,4))</f>
        <v/>
      </c>
      <c r="F32" s="55" t="n">
        <v>3</v>
      </c>
      <c r="G32" s="55" t="n">
        <v>4</v>
      </c>
      <c r="H32" s="32">
        <f>IF(OR(A32="",G32="",G32=0),"",MIN(F32/G32*4,4))</f>
        <v/>
      </c>
      <c r="I32" s="55" t="n">
        <v>3</v>
      </c>
      <c r="J32" s="55" t="n">
        <v>4</v>
      </c>
      <c r="K32" s="32">
        <f>IF(OR(A32="",J32="",J32=0),"",MIN(I32/J32*4,4))</f>
        <v/>
      </c>
      <c r="L32" s="55" t="n">
        <v>3</v>
      </c>
      <c r="M32" s="55" t="n">
        <v>4</v>
      </c>
      <c r="N32" s="32">
        <f>IF(OR(A32="",M32="",M32=0),"",MIN(L32/M32*4,4))</f>
        <v/>
      </c>
      <c r="O32" s="55" t="n">
        <v>3</v>
      </c>
      <c r="P32" s="55" t="n">
        <v>3</v>
      </c>
      <c r="Q32" s="32">
        <f>IF(OR(A32="",P32="",P32=0),"",MIN(O32/P32*4,4))</f>
        <v/>
      </c>
      <c r="R32" s="32">
        <f>IF(A32="","",SUM(E32,H32,K32,N32,Q32))</f>
        <v/>
      </c>
      <c r="S32" s="19">
        <f>IF(R32="","",_xlfn.IFS(R32&gt;=18,"S",R32&gt;=16,"A",R32&gt;=14,"B",R32&gt;=11,"C",TRUE,"D"))</f>
        <v/>
      </c>
    </row>
    <row r="33">
      <c r="A33" s="33">
        <f>IF(A11="","",A11)</f>
        <v/>
      </c>
      <c r="B33" s="19">
        <f>B11</f>
        <v/>
      </c>
      <c r="C33" s="55" t="n">
        <v>4</v>
      </c>
      <c r="D33" s="55" t="n">
        <v>5</v>
      </c>
      <c r="E33" s="32">
        <f>IF(OR(A33="",D33="",D33=0),"",MIN(C33/D33*4,4))</f>
        <v/>
      </c>
      <c r="F33" s="55" t="n">
        <v>3</v>
      </c>
      <c r="G33" s="55" t="n">
        <v>4</v>
      </c>
      <c r="H33" s="32">
        <f>IF(OR(A33="",G33="",G33=0),"",MIN(F33/G33*4,4))</f>
        <v/>
      </c>
      <c r="I33" s="55" t="n">
        <v>3</v>
      </c>
      <c r="J33" s="55" t="n">
        <v>4</v>
      </c>
      <c r="K33" s="32">
        <f>IF(OR(A33="",J33="",J33=0),"",MIN(I33/J33*4,4))</f>
        <v/>
      </c>
      <c r="L33" s="55" t="n">
        <v>3</v>
      </c>
      <c r="M33" s="55" t="n">
        <v>4</v>
      </c>
      <c r="N33" s="32">
        <f>IF(OR(A33="",M33="",M33=0),"",MIN(L33/M33*4,4))</f>
        <v/>
      </c>
      <c r="O33" s="55" t="n">
        <v>2</v>
      </c>
      <c r="P33" s="55" t="n">
        <v>3</v>
      </c>
      <c r="Q33" s="32">
        <f>IF(OR(A33="",P33="",P33=0),"",MIN(O33/P33*4,4))</f>
        <v/>
      </c>
      <c r="R33" s="32">
        <f>IF(A33="","",SUM(E33,H33,K33,N33,Q33))</f>
        <v/>
      </c>
      <c r="S33" s="19">
        <f>IF(R33="","",_xlfn.IFS(R33&gt;=18,"S",R33&gt;=16,"A",R33&gt;=14,"B",R33&gt;=11,"C",TRUE,"D"))</f>
        <v/>
      </c>
    </row>
    <row r="34">
      <c r="A34" s="33">
        <f>IF(A12="","",A12)</f>
        <v/>
      </c>
      <c r="B34" s="19">
        <f>B12</f>
        <v/>
      </c>
      <c r="C34" s="55" t="n">
        <v>4</v>
      </c>
      <c r="D34" s="55" t="n">
        <v>5</v>
      </c>
      <c r="E34" s="32">
        <f>IF(OR(A34="",D34="",D34=0),"",MIN(C34/D34*4,4))</f>
        <v/>
      </c>
      <c r="F34" s="55" t="n">
        <v>3</v>
      </c>
      <c r="G34" s="55" t="n">
        <v>4</v>
      </c>
      <c r="H34" s="32">
        <f>IF(OR(A34="",G34="",G34=0),"",MIN(F34/G34*4,4))</f>
        <v/>
      </c>
      <c r="I34" s="55" t="n">
        <v>3</v>
      </c>
      <c r="J34" s="55" t="n">
        <v>4</v>
      </c>
      <c r="K34" s="32">
        <f>IF(OR(A34="",J34="",J34=0),"",MIN(I34/J34*4,4))</f>
        <v/>
      </c>
      <c r="L34" s="55" t="n">
        <v>3</v>
      </c>
      <c r="M34" s="55" t="n">
        <v>4</v>
      </c>
      <c r="N34" s="32">
        <f>IF(OR(A34="",M34="",M34=0),"",MIN(L34/M34*4,4))</f>
        <v/>
      </c>
      <c r="O34" s="55" t="n">
        <v>2</v>
      </c>
      <c r="P34" s="55" t="n">
        <v>3</v>
      </c>
      <c r="Q34" s="32">
        <f>IF(OR(A34="",P34="",P34=0),"",MIN(O34/P34*4,4))</f>
        <v/>
      </c>
      <c r="R34" s="32">
        <f>IF(A34="","",SUM(E34,H34,K34,N34,Q34))</f>
        <v/>
      </c>
      <c r="S34" s="19">
        <f>IF(R34="","",_xlfn.IFS(R34&gt;=18,"S",R34&gt;=16,"A",R34&gt;=14,"B",R34&gt;=11,"C",TRUE,"D"))</f>
        <v/>
      </c>
    </row>
    <row r="35">
      <c r="A35" s="33">
        <f>IF(A13="","",A13)</f>
        <v/>
      </c>
      <c r="B35" s="19">
        <f>B13</f>
        <v/>
      </c>
      <c r="C35" s="55" t="n">
        <v>3</v>
      </c>
      <c r="D35" s="55" t="n">
        <v>5</v>
      </c>
      <c r="E35" s="32">
        <f>IF(OR(A35="",D35="",D35=0),"",MIN(C35/D35*4,4))</f>
        <v/>
      </c>
      <c r="F35" s="55" t="n">
        <v>2</v>
      </c>
      <c r="G35" s="55" t="n">
        <v>4</v>
      </c>
      <c r="H35" s="32">
        <f>IF(OR(A35="",G35="",G35=0),"",MIN(F35/G35*4,4))</f>
        <v/>
      </c>
      <c r="I35" s="55" t="n">
        <v>2</v>
      </c>
      <c r="J35" s="55" t="n">
        <v>4</v>
      </c>
      <c r="K35" s="32">
        <f>IF(OR(A35="",J35="",J35=0),"",MIN(I35/J35*4,4))</f>
        <v/>
      </c>
      <c r="L35" s="55" t="n">
        <v>2</v>
      </c>
      <c r="M35" s="55" t="n">
        <v>4</v>
      </c>
      <c r="N35" s="32">
        <f>IF(OR(A35="",M35="",M35=0),"",MIN(L35/M35*4,4))</f>
        <v/>
      </c>
      <c r="O35" s="55" t="n">
        <v>2</v>
      </c>
      <c r="P35" s="55" t="n">
        <v>3</v>
      </c>
      <c r="Q35" s="32">
        <f>IF(OR(A35="",P35="",P35=0),"",MIN(O35/P35*4,4))</f>
        <v/>
      </c>
      <c r="R35" s="32">
        <f>IF(A35="","",SUM(E35,H35,K35,N35,Q35))</f>
        <v/>
      </c>
      <c r="S35" s="19">
        <f>IF(R35="","",_xlfn.IFS(R35&gt;=18,"S",R35&gt;=16,"A",R35&gt;=14,"B",R35&gt;=11,"C",TRUE,"D"))</f>
        <v/>
      </c>
    </row>
    <row r="36">
      <c r="A36" s="33">
        <f>IF(A14="","",A14)</f>
        <v/>
      </c>
      <c r="B36" s="19">
        <f>B14</f>
        <v/>
      </c>
      <c r="C36" s="55" t="n">
        <v>3</v>
      </c>
      <c r="D36" s="55" t="n">
        <v>5</v>
      </c>
      <c r="E36" s="32">
        <f>IF(OR(A36="",D36="",D36=0),"",MIN(C36/D36*4,4))</f>
        <v/>
      </c>
      <c r="F36" s="55" t="n">
        <v>2</v>
      </c>
      <c r="G36" s="55" t="n">
        <v>4</v>
      </c>
      <c r="H36" s="32">
        <f>IF(OR(A36="",G36="",G36=0),"",MIN(F36/G36*4,4))</f>
        <v/>
      </c>
      <c r="I36" s="55" t="n">
        <v>2</v>
      </c>
      <c r="J36" s="55" t="n">
        <v>4</v>
      </c>
      <c r="K36" s="32">
        <f>IF(OR(A36="",J36="",J36=0),"",MIN(I36/J36*4,4))</f>
        <v/>
      </c>
      <c r="L36" s="55" t="n">
        <v>2</v>
      </c>
      <c r="M36" s="55" t="n">
        <v>4</v>
      </c>
      <c r="N36" s="32">
        <f>IF(OR(A36="",M36="",M36=0),"",MIN(L36/M36*4,4))</f>
        <v/>
      </c>
      <c r="O36" s="55" t="n">
        <v>2</v>
      </c>
      <c r="P36" s="55" t="n">
        <v>3</v>
      </c>
      <c r="Q36" s="32">
        <f>IF(OR(A36="",P36="",P36=0),"",MIN(O36/P36*4,4))</f>
        <v/>
      </c>
      <c r="R36" s="32">
        <f>IF(A36="","",SUM(E36,H36,K36,N36,Q36))</f>
        <v/>
      </c>
      <c r="S36" s="19">
        <f>IF(R36="","",_xlfn.IFS(R36&gt;=18,"S",R36&gt;=16,"A",R36&gt;=14,"B",R36&gt;=11,"C",TRUE,"D"))</f>
        <v/>
      </c>
    </row>
    <row r="37">
      <c r="A37" s="33">
        <f>IF(A15="","",A15)</f>
        <v/>
      </c>
      <c r="B37" s="19">
        <f>B15</f>
        <v/>
      </c>
      <c r="C37" s="55" t="n">
        <v>2</v>
      </c>
      <c r="D37" s="55" t="n">
        <v>5</v>
      </c>
      <c r="E37" s="32">
        <f>IF(OR(A37="",D37="",D37=0),"",MIN(C37/D37*4,4))</f>
        <v/>
      </c>
      <c r="F37" s="55" t="n">
        <v>2</v>
      </c>
      <c r="G37" s="55" t="n">
        <v>4</v>
      </c>
      <c r="H37" s="32">
        <f>IF(OR(A37="",G37="",G37=0),"",MIN(F37/G37*4,4))</f>
        <v/>
      </c>
      <c r="I37" s="55" t="n">
        <v>2</v>
      </c>
      <c r="J37" s="55" t="n">
        <v>4</v>
      </c>
      <c r="K37" s="32">
        <f>IF(OR(A37="",J37="",J37=0),"",MIN(I37/J37*4,4))</f>
        <v/>
      </c>
      <c r="L37" s="55" t="n">
        <v>2</v>
      </c>
      <c r="M37" s="55" t="n">
        <v>4</v>
      </c>
      <c r="N37" s="32">
        <f>IF(OR(A37="",M37="",M37=0),"",MIN(L37/M37*4,4))</f>
        <v/>
      </c>
      <c r="O37" s="55" t="n">
        <v>1</v>
      </c>
      <c r="P37" s="55" t="n">
        <v>3</v>
      </c>
      <c r="Q37" s="32">
        <f>IF(OR(A37="",P37="",P37=0),"",MIN(O37/P37*4,4))</f>
        <v/>
      </c>
      <c r="R37" s="32">
        <f>IF(A37="","",SUM(E37,H37,K37,N37,Q37))</f>
        <v/>
      </c>
      <c r="S37" s="19">
        <f>IF(R37="","",_xlfn.IFS(R37&gt;=18,"S",R37&gt;=16,"A",R37&gt;=14,"B",R37&gt;=11,"C",TRUE,"D"))</f>
        <v/>
      </c>
    </row>
    <row r="38">
      <c r="A38" s="33">
        <f>IF(A16="","",A16)</f>
        <v/>
      </c>
      <c r="B38" s="19">
        <f>B16</f>
        <v/>
      </c>
      <c r="C38" s="55" t="n">
        <v>2</v>
      </c>
      <c r="D38" s="55" t="n">
        <v>5</v>
      </c>
      <c r="E38" s="32">
        <f>IF(OR(A38="",D38="",D38=0),"",MIN(C38/D38*4,4))</f>
        <v/>
      </c>
      <c r="F38" s="55" t="n">
        <v>1</v>
      </c>
      <c r="G38" s="55" t="n">
        <v>4</v>
      </c>
      <c r="H38" s="32">
        <f>IF(OR(A38="",G38="",G38=0),"",MIN(F38/G38*4,4))</f>
        <v/>
      </c>
      <c r="I38" s="55" t="n">
        <v>1</v>
      </c>
      <c r="J38" s="55" t="n">
        <v>4</v>
      </c>
      <c r="K38" s="32">
        <f>IF(OR(A38="",J38="",J38=0),"",MIN(I38/J38*4,4))</f>
        <v/>
      </c>
      <c r="L38" s="55" t="n">
        <v>1</v>
      </c>
      <c r="M38" s="55" t="n">
        <v>4</v>
      </c>
      <c r="N38" s="32">
        <f>IF(OR(A38="",M38="",M38=0),"",MIN(L38/M38*4,4))</f>
        <v/>
      </c>
      <c r="O38" s="55" t="n">
        <v>1</v>
      </c>
      <c r="P38" s="55" t="n">
        <v>3</v>
      </c>
      <c r="Q38" s="32">
        <f>IF(OR(A38="",P38="",P38=0),"",MIN(O38/P38*4,4))</f>
        <v/>
      </c>
      <c r="R38" s="32">
        <f>IF(A38="","",SUM(E38,H38,K38,N38,Q38))</f>
        <v/>
      </c>
      <c r="S38" s="19">
        <f>IF(R38="","",_xlfn.IFS(R38&gt;=18,"S",R38&gt;=16,"A",R38&gt;=14,"B",R38&gt;=11,"C",TRUE,"D"))</f>
        <v/>
      </c>
    </row>
    <row r="39">
      <c r="A39" s="33">
        <f>IF(A17="","",A17)</f>
        <v/>
      </c>
      <c r="B39" s="19">
        <f>B17</f>
        <v/>
      </c>
      <c r="C39" s="55" t="n"/>
      <c r="D39" s="55" t="n"/>
      <c r="E39" s="32">
        <f>IF(OR(A39="",D39="",D39=0),"",MIN(C39/D39*4,4))</f>
        <v/>
      </c>
      <c r="F39" s="55" t="n"/>
      <c r="G39" s="55" t="n"/>
      <c r="H39" s="32">
        <f>IF(OR(A39="",G39="",G39=0),"",MIN(F39/G39*4,4))</f>
        <v/>
      </c>
      <c r="I39" s="55" t="n"/>
      <c r="J39" s="55" t="n"/>
      <c r="K39" s="32">
        <f>IF(OR(A39="",J39="",J39=0),"",MIN(I39/J39*4,4))</f>
        <v/>
      </c>
      <c r="L39" s="55" t="n"/>
      <c r="M39" s="55" t="n"/>
      <c r="N39" s="32">
        <f>IF(OR(A39="",M39="",M39=0),"",MIN(L39/M39*4,4))</f>
        <v/>
      </c>
      <c r="O39" s="55" t="n"/>
      <c r="P39" s="55" t="n"/>
      <c r="Q39" s="32">
        <f>IF(OR(A39="",P39="",P39=0),"",MIN(O39/P39*4,4))</f>
        <v/>
      </c>
      <c r="R39" s="32">
        <f>IF(A39="","",SUM(E39,H39,K39,N39,Q39))</f>
        <v/>
      </c>
      <c r="S39" s="19">
        <f>IF(R39="","",_xlfn.IFS(R39&gt;=18,"S",R39&gt;=16,"A",R39&gt;=14,"B",R39&gt;=11,"C",TRUE,"D"))</f>
        <v/>
      </c>
    </row>
    <row r="40">
      <c r="A40" s="33">
        <f>IF(A18="","",A18)</f>
        <v/>
      </c>
      <c r="B40" s="19">
        <f>B18</f>
        <v/>
      </c>
      <c r="C40" s="55" t="n"/>
      <c r="D40" s="55" t="n"/>
      <c r="E40" s="32">
        <f>IF(OR(A40="",D40="",D40=0),"",MIN(C40/D40*4,4))</f>
        <v/>
      </c>
      <c r="F40" s="55" t="n"/>
      <c r="G40" s="55" t="n"/>
      <c r="H40" s="32">
        <f>IF(OR(A40="",G40="",G40=0),"",MIN(F40/G40*4,4))</f>
        <v/>
      </c>
      <c r="I40" s="55" t="n"/>
      <c r="J40" s="55" t="n"/>
      <c r="K40" s="32">
        <f>IF(OR(A40="",J40="",J40=0),"",MIN(I40/J40*4,4))</f>
        <v/>
      </c>
      <c r="L40" s="55" t="n"/>
      <c r="M40" s="55" t="n"/>
      <c r="N40" s="32">
        <f>IF(OR(A40="",M40="",M40=0),"",MIN(L40/M40*4,4))</f>
        <v/>
      </c>
      <c r="O40" s="55" t="n"/>
      <c r="P40" s="55" t="n"/>
      <c r="Q40" s="32">
        <f>IF(OR(A40="",P40="",P40=0),"",MIN(O40/P40*4,4))</f>
        <v/>
      </c>
      <c r="R40" s="32">
        <f>IF(A40="","",SUM(E40,H40,K40,N40,Q40))</f>
        <v/>
      </c>
      <c r="S40" s="19">
        <f>IF(R40="","",_xlfn.IFS(R40&gt;=18,"S",R40&gt;=16,"A",R40&gt;=14,"B",R40&gt;=11,"C",TRUE,"D"))</f>
        <v/>
      </c>
    </row>
    <row r="41">
      <c r="A41" s="33">
        <f>IF(A19="","",A19)</f>
        <v/>
      </c>
      <c r="B41" s="19">
        <f>B19</f>
        <v/>
      </c>
      <c r="C41" s="55" t="n"/>
      <c r="D41" s="55" t="n"/>
      <c r="E41" s="32">
        <f>IF(OR(A41="",D41="",D41=0),"",MIN(C41/D41*4,4))</f>
        <v/>
      </c>
      <c r="F41" s="55" t="n"/>
      <c r="G41" s="55" t="n"/>
      <c r="H41" s="32">
        <f>IF(OR(A41="",G41="",G41=0),"",MIN(F41/G41*4,4))</f>
        <v/>
      </c>
      <c r="I41" s="55" t="n"/>
      <c r="J41" s="55" t="n"/>
      <c r="K41" s="32">
        <f>IF(OR(A41="",J41="",J41=0),"",MIN(I41/J41*4,4))</f>
        <v/>
      </c>
      <c r="L41" s="55" t="n"/>
      <c r="M41" s="55" t="n"/>
      <c r="N41" s="32">
        <f>IF(OR(A41="",M41="",M41=0),"",MIN(L41/M41*4,4))</f>
        <v/>
      </c>
      <c r="O41" s="55" t="n"/>
      <c r="P41" s="55" t="n"/>
      <c r="Q41" s="32">
        <f>IF(OR(A41="",P41="",P41=0),"",MIN(O41/P41*4,4))</f>
        <v/>
      </c>
      <c r="R41" s="32">
        <f>IF(A41="","",SUM(E41,H41,K41,N41,Q41))</f>
        <v/>
      </c>
      <c r="S41" s="19">
        <f>IF(R41="","",_xlfn.IFS(R41&gt;=18,"S",R41&gt;=16,"A",R41&gt;=14,"B",R41&gt;=11,"C",TRUE,"D"))</f>
        <v/>
      </c>
    </row>
    <row r="42">
      <c r="A42" s="33">
        <f>IF(A20="","",A20)</f>
        <v/>
      </c>
      <c r="B42" s="19">
        <f>B20</f>
        <v/>
      </c>
      <c r="C42" s="55" t="n"/>
      <c r="D42" s="55" t="n"/>
      <c r="E42" s="32">
        <f>IF(OR(A42="",D42="",D42=0),"",MIN(C42/D42*4,4))</f>
        <v/>
      </c>
      <c r="F42" s="55" t="n"/>
      <c r="G42" s="55" t="n"/>
      <c r="H42" s="32">
        <f>IF(OR(A42="",G42="",G42=0),"",MIN(F42/G42*4,4))</f>
        <v/>
      </c>
      <c r="I42" s="55" t="n"/>
      <c r="J42" s="55" t="n"/>
      <c r="K42" s="32">
        <f>IF(OR(A42="",J42="",J42=0),"",MIN(I42/J42*4,4))</f>
        <v/>
      </c>
      <c r="L42" s="55" t="n"/>
      <c r="M42" s="55" t="n"/>
      <c r="N42" s="32">
        <f>IF(OR(A42="",M42="",M42=0),"",MIN(L42/M42*4,4))</f>
        <v/>
      </c>
      <c r="O42" s="55" t="n"/>
      <c r="P42" s="55" t="n"/>
      <c r="Q42" s="32">
        <f>IF(OR(A42="",P42="",P42=0),"",MIN(O42/P42*4,4))</f>
        <v/>
      </c>
      <c r="R42" s="32">
        <f>IF(A42="","",SUM(E42,H42,K42,N42,Q42))</f>
        <v/>
      </c>
      <c r="S42" s="19">
        <f>IF(R42="","",_xlfn.IFS(R42&gt;=18,"S",R42&gt;=16,"A",R42&gt;=14,"B",R42&gt;=11,"C",TRUE,"D"))</f>
        <v/>
      </c>
    </row>
    <row r="43">
      <c r="A43" s="33">
        <f>IF(A21="","",A21)</f>
        <v/>
      </c>
      <c r="B43" s="19">
        <f>B21</f>
        <v/>
      </c>
      <c r="C43" s="55" t="n"/>
      <c r="D43" s="55" t="n"/>
      <c r="E43" s="32">
        <f>IF(OR(A43="",D43="",D43=0),"",MIN(C43/D43*4,4))</f>
        <v/>
      </c>
      <c r="F43" s="55" t="n"/>
      <c r="G43" s="55" t="n"/>
      <c r="H43" s="32">
        <f>IF(OR(A43="",G43="",G43=0),"",MIN(F43/G43*4,4))</f>
        <v/>
      </c>
      <c r="I43" s="55" t="n"/>
      <c r="J43" s="55" t="n"/>
      <c r="K43" s="32">
        <f>IF(OR(A43="",J43="",J43=0),"",MIN(I43/J43*4,4))</f>
        <v/>
      </c>
      <c r="L43" s="55" t="n"/>
      <c r="M43" s="55" t="n"/>
      <c r="N43" s="32">
        <f>IF(OR(A43="",M43="",M43=0),"",MIN(L43/M43*4,4))</f>
        <v/>
      </c>
      <c r="O43" s="55" t="n"/>
      <c r="P43" s="55" t="n"/>
      <c r="Q43" s="32">
        <f>IF(OR(A43="",P43="",P43=0),"",MIN(O43/P43*4,4))</f>
        <v/>
      </c>
      <c r="R43" s="32">
        <f>IF(A43="","",SUM(E43,H43,K43,N43,Q43))</f>
        <v/>
      </c>
      <c r="S43" s="19">
        <f>IF(R43="","",_xlfn.IFS(R43&gt;=18,"S",R43&gt;=16,"A",R43&gt;=14,"B",R43&gt;=11,"C",TRUE,"D"))</f>
        <v/>
      </c>
    </row>
    <row r="44">
      <c r="A44" s="10" t="inlineStr">
        <is>
          <t>팀 평균 / 합계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34">
        <f>AVERAGE(R29:R43)</f>
        <v/>
      </c>
      <c r="S44" s="10" t="inlineStr">
        <is>
          <t>-</t>
        </is>
      </c>
    </row>
    <row r="46">
      <c r="A46" s="8" t="inlineStr">
        <is>
          <t>③ 역량평가 · 정성 (과정지표Ⅱ, 30점)</t>
        </is>
      </c>
      <c r="J46" s="2" t="inlineStr">
        <is>
          <t>④ 종합</t>
        </is>
      </c>
    </row>
    <row r="47" ht="30" customHeight="1">
      <c r="A47" s="2" t="inlineStr">
        <is>
          <t>이름
(①표 자동)</t>
        </is>
      </c>
      <c r="B47" s="2" t="inlineStr">
        <is>
          <t>직책
(①표 자동)</t>
        </is>
      </c>
      <c r="C47" s="8" t="inlineStr">
        <is>
          <t>업무태도</t>
        </is>
      </c>
      <c r="D47" s="8" t="inlineStr">
        <is>
          <t>전문소통</t>
        </is>
      </c>
      <c r="E47" s="8" t="inlineStr">
        <is>
          <t>조직화합</t>
        </is>
      </c>
      <c r="F47" s="8" t="inlineStr">
        <is>
          <t>업무지시이행</t>
        </is>
      </c>
      <c r="G47" s="8" t="inlineStr">
        <is>
          <t>조직기여</t>
        </is>
      </c>
      <c r="H47" s="8" t="inlineStr">
        <is>
          <t>소계
(30)</t>
        </is>
      </c>
      <c r="I47" s="8" t="inlineStr">
        <is>
          <t>등급</t>
        </is>
      </c>
      <c r="J47" s="2" t="inlineStr">
        <is>
          <t>①결과지표
점수(참조)</t>
        </is>
      </c>
      <c r="K47" s="2" t="inlineStr">
        <is>
          <t>②개별성과
소계(참조)</t>
        </is>
      </c>
      <c r="L47" s="2" t="inlineStr">
        <is>
          <t>종합점수
(100)</t>
        </is>
      </c>
      <c r="M47" s="2" t="inlineStr">
        <is>
          <t>종합등급</t>
        </is>
      </c>
      <c r="N47" s="2" t="inlineStr">
        <is>
          <t>보상구분</t>
        </is>
      </c>
      <c r="O47" s="2" t="inlineStr">
        <is>
          <t>비고</t>
        </is>
      </c>
    </row>
    <row r="48" ht="42" customHeight="1">
      <c r="C48" s="21" t="inlineStr">
        <is>
          <t>성실성·근태·마감 준수 등 기본 업무 자세 (0~6점)</t>
        </is>
      </c>
      <c r="D48" s="21" t="inlineStr">
        <is>
          <t>고객·동료와의 커뮤니케이션 품질과 신속성 (0~6점)</t>
        </is>
      </c>
      <c r="E48" s="21" t="inlineStr">
        <is>
          <t>팀 내 협업 및 갈등 조율 기여도 (0~6점)</t>
        </is>
      </c>
      <c r="F48" s="21" t="inlineStr">
        <is>
          <t>지시받은 업무의 완결성과 정확도 (0~6점)</t>
        </is>
      </c>
      <c r="G48" s="21" t="inlineStr">
        <is>
          <t>팀/전사 차원의 부가적 기여 - 멘토링·지식공유 등 (0~6점)</t>
        </is>
      </c>
    </row>
    <row r="49" ht="22" customHeight="1">
      <c r="C49" s="63" t="inlineStr">
        <is>
          <t>점수
(6)</t>
        </is>
      </c>
      <c r="D49" s="63" t="inlineStr">
        <is>
          <t>점수
(6)</t>
        </is>
      </c>
      <c r="E49" s="63" t="inlineStr">
        <is>
          <t>점수
(6)</t>
        </is>
      </c>
      <c r="F49" s="63" t="inlineStr">
        <is>
          <t>점수
(6)</t>
        </is>
      </c>
      <c r="G49" s="63" t="inlineStr">
        <is>
          <t>점수
(6)</t>
        </is>
      </c>
    </row>
    <row r="50" ht="34" customHeight="1">
      <c r="A50" s="33">
        <f>IF(A6="","",A6)</f>
        <v/>
      </c>
      <c r="B50" s="19">
        <f>B6</f>
        <v/>
      </c>
      <c r="C50" s="61" t="inlineStr">
        <is>
          <t>리더의 역량평가는 상급자(경영진)가 별도로 평가합니다 — 본 시트에는 미기재</t>
        </is>
      </c>
      <c r="J50" s="32">
        <f>F6</f>
        <v/>
      </c>
      <c r="K50" s="20" t="inlineStr">
        <is>
          <t>해당없음</t>
        </is>
      </c>
      <c r="L50" s="61" t="inlineStr">
        <is>
          <t>리더 종합평가 = 결과지표(50) + 상급자 역량평가(30, 별도 산정) — 본 시트 자동계산 대상 아님</t>
        </is>
      </c>
      <c r="O50" s="64" t="n"/>
    </row>
    <row r="51">
      <c r="A51" s="33">
        <f>IF(A7="","",A7)</f>
        <v/>
      </c>
      <c r="B51" s="19">
        <f>B7</f>
        <v/>
      </c>
      <c r="C51" s="55" t="n">
        <v>6</v>
      </c>
      <c r="D51" s="55" t="n">
        <v>6</v>
      </c>
      <c r="E51" s="55" t="n">
        <v>6</v>
      </c>
      <c r="F51" s="55" t="n">
        <v>6</v>
      </c>
      <c r="G51" s="55" t="n">
        <v>6</v>
      </c>
      <c r="H51" s="32">
        <f>IF(A51="","",SUM(C51,D51,E51,F51,G51))</f>
        <v/>
      </c>
      <c r="I51" s="19">
        <f>IF(H51="","",_xlfn.IFS(H51&gt;=27,"S",H51&gt;=24,"A",H51&gt;=21,"B",H51&gt;=18,"C",TRUE,"D"))</f>
        <v/>
      </c>
      <c r="J51" s="32">
        <f>IF(A51="","",F7)</f>
        <v/>
      </c>
      <c r="K51" s="32">
        <f>IF(A51="","",R29)</f>
        <v/>
      </c>
      <c r="L51" s="32">
        <f>IF(A51="","",J51+K51+H51)</f>
        <v/>
      </c>
      <c r="M51" s="19">
        <f>IF(L51="","",_xlfn.IFS(L51&gt;=90,"S",L51&gt;=82,"A",L51&gt;=70,"B",L51&gt;=60,"C",TRUE,"D"))</f>
        <v/>
      </c>
      <c r="N51" s="33">
        <f>IF(M51="","",_xlfn.IFS(M51="S","특별성과급 (연봉의 15%) + 연봉 인상 10%",M51="A","성과급 (연봉의 10%) + 연봉 인상 7%",M51="B","연봉 인상 3% (물가인상률 보전)",M51="C","동결 (PIP 대상)",TRUE,"동결 (경고 및 보직조정)"))</f>
        <v/>
      </c>
      <c r="O51" s="51" t="n"/>
    </row>
    <row r="52">
      <c r="A52" s="33">
        <f>IF(A8="","",A8)</f>
        <v/>
      </c>
      <c r="B52" s="19">
        <f>B8</f>
        <v/>
      </c>
      <c r="C52" s="55" t="n">
        <v>6</v>
      </c>
      <c r="D52" s="55" t="n">
        <v>6</v>
      </c>
      <c r="E52" s="55" t="n">
        <v>6</v>
      </c>
      <c r="F52" s="55" t="n">
        <v>6</v>
      </c>
      <c r="G52" s="55" t="n">
        <v>6</v>
      </c>
      <c r="H52" s="32">
        <f>IF(A52="","",SUM(C52,D52,E52,F52,G52))</f>
        <v/>
      </c>
      <c r="I52" s="19">
        <f>IF(H52="","",_xlfn.IFS(H52&gt;=27,"S",H52&gt;=24,"A",H52&gt;=21,"B",H52&gt;=18,"C",TRUE,"D"))</f>
        <v/>
      </c>
      <c r="J52" s="32">
        <f>IF(A52="","",F8)</f>
        <v/>
      </c>
      <c r="K52" s="32">
        <f>IF(A52="","",R30)</f>
        <v/>
      </c>
      <c r="L52" s="32">
        <f>IF(A52="","",J52+K52+H52)</f>
        <v/>
      </c>
      <c r="M52" s="19">
        <f>IF(L52="","",_xlfn.IFS(L52&gt;=90,"S",L52&gt;=82,"A",L52&gt;=70,"B",L52&gt;=60,"C",TRUE,"D"))</f>
        <v/>
      </c>
      <c r="N52" s="33">
        <f>IF(M52="","",_xlfn.IFS(M52="S","특별성과급 (연봉의 15%) + 연봉 인상 10%",M52="A","성과급 (연봉의 10%) + 연봉 인상 7%",M52="B","연봉 인상 3% (물가인상률 보전)",M52="C","동결 (PIP 대상)",TRUE,"동결 (경고 및 보직조정)"))</f>
        <v/>
      </c>
      <c r="O52" s="51" t="n"/>
    </row>
    <row r="53">
      <c r="A53" s="33">
        <f>IF(A9="","",A9)</f>
        <v/>
      </c>
      <c r="B53" s="19">
        <f>B9</f>
        <v/>
      </c>
      <c r="C53" s="55" t="n">
        <v>6</v>
      </c>
      <c r="D53" s="55" t="n">
        <v>6</v>
      </c>
      <c r="E53" s="55" t="n">
        <v>6</v>
      </c>
      <c r="F53" s="55" t="n">
        <v>6</v>
      </c>
      <c r="G53" s="55" t="n">
        <v>6</v>
      </c>
      <c r="H53" s="32">
        <f>IF(A53="","",SUM(C53,D53,E53,F53,G53))</f>
        <v/>
      </c>
      <c r="I53" s="19">
        <f>IF(H53="","",_xlfn.IFS(H53&gt;=27,"S",H53&gt;=24,"A",H53&gt;=21,"B",H53&gt;=18,"C",TRUE,"D"))</f>
        <v/>
      </c>
      <c r="J53" s="32">
        <f>IF(A53="","",F9)</f>
        <v/>
      </c>
      <c r="K53" s="32">
        <f>IF(A53="","",R31)</f>
        <v/>
      </c>
      <c r="L53" s="32">
        <f>IF(A53="","",J53+K53+H53)</f>
        <v/>
      </c>
      <c r="M53" s="19">
        <f>IF(L53="","",_xlfn.IFS(L53&gt;=90,"S",L53&gt;=82,"A",L53&gt;=70,"B",L53&gt;=60,"C",TRUE,"D"))</f>
        <v/>
      </c>
      <c r="N53" s="33">
        <f>IF(M53="","",_xlfn.IFS(M53="S","특별성과급 (연봉의 15%) + 연봉 인상 10%",M53="A","성과급 (연봉의 10%) + 연봉 인상 7%",M53="B","연봉 인상 3% (물가인상률 보전)",M53="C","동결 (PIP 대상)",TRUE,"동결 (경고 및 보직조정)"))</f>
        <v/>
      </c>
      <c r="O53" s="51" t="n"/>
    </row>
    <row r="54">
      <c r="A54" s="33">
        <f>IF(A10="","",A10)</f>
        <v/>
      </c>
      <c r="B54" s="19">
        <f>B10</f>
        <v/>
      </c>
      <c r="C54" s="55" t="n">
        <v>5</v>
      </c>
      <c r="D54" s="55" t="n">
        <v>5</v>
      </c>
      <c r="E54" s="55" t="n">
        <v>5</v>
      </c>
      <c r="F54" s="55" t="n">
        <v>5</v>
      </c>
      <c r="G54" s="55" t="n">
        <v>5</v>
      </c>
      <c r="H54" s="32">
        <f>IF(A54="","",SUM(C54,D54,E54,F54,G54))</f>
        <v/>
      </c>
      <c r="I54" s="19">
        <f>IF(H54="","",_xlfn.IFS(H54&gt;=27,"S",H54&gt;=24,"A",H54&gt;=21,"B",H54&gt;=18,"C",TRUE,"D"))</f>
        <v/>
      </c>
      <c r="J54" s="32">
        <f>IF(A54="","",F10)</f>
        <v/>
      </c>
      <c r="K54" s="32">
        <f>IF(A54="","",R32)</f>
        <v/>
      </c>
      <c r="L54" s="32">
        <f>IF(A54="","",J54+K54+H54)</f>
        <v/>
      </c>
      <c r="M54" s="19">
        <f>IF(L54="","",_xlfn.IFS(L54&gt;=90,"S",L54&gt;=82,"A",L54&gt;=70,"B",L54&gt;=60,"C",TRUE,"D"))</f>
        <v/>
      </c>
      <c r="N54" s="33">
        <f>IF(M54="","",_xlfn.IFS(M54="S","특별성과급 (연봉의 15%) + 연봉 인상 10%",M54="A","성과급 (연봉의 10%) + 연봉 인상 7%",M54="B","연봉 인상 3% (물가인상률 보전)",M54="C","동결 (PIP 대상)",TRUE,"동결 (경고 및 보직조정)"))</f>
        <v/>
      </c>
      <c r="O54" s="51" t="n"/>
    </row>
    <row r="55">
      <c r="A55" s="33">
        <f>IF(A11="","",A11)</f>
        <v/>
      </c>
      <c r="B55" s="19">
        <f>B11</f>
        <v/>
      </c>
      <c r="C55" s="55" t="n">
        <v>5</v>
      </c>
      <c r="D55" s="55" t="n">
        <v>5</v>
      </c>
      <c r="E55" s="55" t="n">
        <v>5</v>
      </c>
      <c r="F55" s="55" t="n">
        <v>5</v>
      </c>
      <c r="G55" s="55" t="n">
        <v>5</v>
      </c>
      <c r="H55" s="32">
        <f>IF(A55="","",SUM(C55,D55,E55,F55,G55))</f>
        <v/>
      </c>
      <c r="I55" s="19">
        <f>IF(H55="","",_xlfn.IFS(H55&gt;=27,"S",H55&gt;=24,"A",H55&gt;=21,"B",H55&gt;=18,"C",TRUE,"D"))</f>
        <v/>
      </c>
      <c r="J55" s="32">
        <f>IF(A55="","",F11)</f>
        <v/>
      </c>
      <c r="K55" s="32">
        <f>IF(A55="","",R33)</f>
        <v/>
      </c>
      <c r="L55" s="32">
        <f>IF(A55="","",J55+K55+H55)</f>
        <v/>
      </c>
      <c r="M55" s="19">
        <f>IF(L55="","",_xlfn.IFS(L55&gt;=90,"S",L55&gt;=82,"A",L55&gt;=70,"B",L55&gt;=60,"C",TRUE,"D"))</f>
        <v/>
      </c>
      <c r="N55" s="33">
        <f>IF(M55="","",_xlfn.IFS(M55="S","특별성과급 (연봉의 15%) + 연봉 인상 10%",M55="A","성과급 (연봉의 10%) + 연봉 인상 7%",M55="B","연봉 인상 3% (물가인상률 보전)",M55="C","동결 (PIP 대상)",TRUE,"동결 (경고 및 보직조정)"))</f>
        <v/>
      </c>
      <c r="O55" s="51" t="n"/>
    </row>
    <row r="56">
      <c r="A56" s="33">
        <f>IF(A12="","",A12)</f>
        <v/>
      </c>
      <c r="B56" s="19">
        <f>B12</f>
        <v/>
      </c>
      <c r="C56" s="55" t="n">
        <v>4</v>
      </c>
      <c r="D56" s="55" t="n">
        <v>4</v>
      </c>
      <c r="E56" s="55" t="n">
        <v>4</v>
      </c>
      <c r="F56" s="55" t="n">
        <v>4</v>
      </c>
      <c r="G56" s="55" t="n">
        <v>4</v>
      </c>
      <c r="H56" s="32">
        <f>IF(A56="","",SUM(C56,D56,E56,F56,G56))</f>
        <v/>
      </c>
      <c r="I56" s="19">
        <f>IF(H56="","",_xlfn.IFS(H56&gt;=27,"S",H56&gt;=24,"A",H56&gt;=21,"B",H56&gt;=18,"C",TRUE,"D"))</f>
        <v/>
      </c>
      <c r="J56" s="32">
        <f>IF(A56="","",F12)</f>
        <v/>
      </c>
      <c r="K56" s="32">
        <f>IF(A56="","",R34)</f>
        <v/>
      </c>
      <c r="L56" s="32">
        <f>IF(A56="","",J56+K56+H56)</f>
        <v/>
      </c>
      <c r="M56" s="19">
        <f>IF(L56="","",_xlfn.IFS(L56&gt;=90,"S",L56&gt;=82,"A",L56&gt;=70,"B",L56&gt;=60,"C",TRUE,"D"))</f>
        <v/>
      </c>
      <c r="N56" s="33">
        <f>IF(M56="","",_xlfn.IFS(M56="S","특별성과급 (연봉의 15%) + 연봉 인상 10%",M56="A","성과급 (연봉의 10%) + 연봉 인상 7%",M56="B","연봉 인상 3% (물가인상률 보전)",M56="C","동결 (PIP 대상)",TRUE,"동결 (경고 및 보직조정)"))</f>
        <v/>
      </c>
      <c r="O56" s="51" t="n"/>
    </row>
    <row r="57">
      <c r="A57" s="33">
        <f>IF(A13="","",A13)</f>
        <v/>
      </c>
      <c r="B57" s="19">
        <f>B13</f>
        <v/>
      </c>
      <c r="C57" s="55" t="n">
        <v>4</v>
      </c>
      <c r="D57" s="55" t="n">
        <v>4</v>
      </c>
      <c r="E57" s="55" t="n">
        <v>4</v>
      </c>
      <c r="F57" s="55" t="n">
        <v>4</v>
      </c>
      <c r="G57" s="55" t="n">
        <v>4</v>
      </c>
      <c r="H57" s="32">
        <f>IF(A57="","",SUM(C57,D57,E57,F57,G57))</f>
        <v/>
      </c>
      <c r="I57" s="19">
        <f>IF(H57="","",_xlfn.IFS(H57&gt;=27,"S",H57&gt;=24,"A",H57&gt;=21,"B",H57&gt;=18,"C",TRUE,"D"))</f>
        <v/>
      </c>
      <c r="J57" s="32">
        <f>IF(A57="","",F13)</f>
        <v/>
      </c>
      <c r="K57" s="32">
        <f>IF(A57="","",R35)</f>
        <v/>
      </c>
      <c r="L57" s="32">
        <f>IF(A57="","",J57+K57+H57)</f>
        <v/>
      </c>
      <c r="M57" s="19">
        <f>IF(L57="","",_xlfn.IFS(L57&gt;=90,"S",L57&gt;=82,"A",L57&gt;=70,"B",L57&gt;=60,"C",TRUE,"D"))</f>
        <v/>
      </c>
      <c r="N57" s="33">
        <f>IF(M57="","",_xlfn.IFS(M57="S","특별성과급 (연봉의 15%) + 연봉 인상 10%",M57="A","성과급 (연봉의 10%) + 연봉 인상 7%",M57="B","연봉 인상 3% (물가인상률 보전)",M57="C","동결 (PIP 대상)",TRUE,"동결 (경고 및 보직조정)"))</f>
        <v/>
      </c>
      <c r="O57" s="51" t="n"/>
    </row>
    <row r="58">
      <c r="A58" s="33">
        <f>IF(A14="","",A14)</f>
        <v/>
      </c>
      <c r="B58" s="19">
        <f>B14</f>
        <v/>
      </c>
      <c r="C58" s="55" t="n">
        <v>3</v>
      </c>
      <c r="D58" s="55" t="n">
        <v>3</v>
      </c>
      <c r="E58" s="55" t="n">
        <v>3</v>
      </c>
      <c r="F58" s="55" t="n">
        <v>3</v>
      </c>
      <c r="G58" s="55" t="n">
        <v>3</v>
      </c>
      <c r="H58" s="32">
        <f>IF(A58="","",SUM(C58,D58,E58,F58,G58))</f>
        <v/>
      </c>
      <c r="I58" s="19">
        <f>IF(H58="","",_xlfn.IFS(H58&gt;=27,"S",H58&gt;=24,"A",H58&gt;=21,"B",H58&gt;=18,"C",TRUE,"D"))</f>
        <v/>
      </c>
      <c r="J58" s="32">
        <f>IF(A58="","",F14)</f>
        <v/>
      </c>
      <c r="K58" s="32">
        <f>IF(A58="","",R36)</f>
        <v/>
      </c>
      <c r="L58" s="32">
        <f>IF(A58="","",J58+K58+H58)</f>
        <v/>
      </c>
      <c r="M58" s="19">
        <f>IF(L58="","",_xlfn.IFS(L58&gt;=90,"S",L58&gt;=82,"A",L58&gt;=70,"B",L58&gt;=60,"C",TRUE,"D"))</f>
        <v/>
      </c>
      <c r="N58" s="33">
        <f>IF(M58="","",_xlfn.IFS(M58="S","특별성과급 (연봉의 15%) + 연봉 인상 10%",M58="A","성과급 (연봉의 10%) + 연봉 인상 7%",M58="B","연봉 인상 3% (물가인상률 보전)",M58="C","동결 (PIP 대상)",TRUE,"동결 (경고 및 보직조정)"))</f>
        <v/>
      </c>
      <c r="O58" s="51" t="n"/>
    </row>
    <row r="59">
      <c r="A59" s="33">
        <f>IF(A15="","",A15)</f>
        <v/>
      </c>
      <c r="B59" s="19">
        <f>B15</f>
        <v/>
      </c>
      <c r="C59" s="55" t="n">
        <v>3</v>
      </c>
      <c r="D59" s="55" t="n">
        <v>3</v>
      </c>
      <c r="E59" s="55" t="n">
        <v>3</v>
      </c>
      <c r="F59" s="55" t="n">
        <v>3</v>
      </c>
      <c r="G59" s="55" t="n">
        <v>3</v>
      </c>
      <c r="H59" s="32">
        <f>IF(A59="","",SUM(C59,D59,E59,F59,G59))</f>
        <v/>
      </c>
      <c r="I59" s="19">
        <f>IF(H59="","",_xlfn.IFS(H59&gt;=27,"S",H59&gt;=24,"A",H59&gt;=21,"B",H59&gt;=18,"C",TRUE,"D"))</f>
        <v/>
      </c>
      <c r="J59" s="32">
        <f>IF(A59="","",F15)</f>
        <v/>
      </c>
      <c r="K59" s="32">
        <f>IF(A59="","",R37)</f>
        <v/>
      </c>
      <c r="L59" s="32">
        <f>IF(A59="","",J59+K59+H59)</f>
        <v/>
      </c>
      <c r="M59" s="19">
        <f>IF(L59="","",_xlfn.IFS(L59&gt;=90,"S",L59&gt;=82,"A",L59&gt;=70,"B",L59&gt;=60,"C",TRUE,"D"))</f>
        <v/>
      </c>
      <c r="N59" s="33">
        <f>IF(M59="","",_xlfn.IFS(M59="S","특별성과급 (연봉의 15%) + 연봉 인상 10%",M59="A","성과급 (연봉의 10%) + 연봉 인상 7%",M59="B","연봉 인상 3% (물가인상률 보전)",M59="C","동결 (PIP 대상)",TRUE,"동결 (경고 및 보직조정)"))</f>
        <v/>
      </c>
      <c r="O59" s="51" t="n"/>
    </row>
    <row r="60">
      <c r="A60" s="33">
        <f>IF(A16="","",A16)</f>
        <v/>
      </c>
      <c r="B60" s="19">
        <f>B16</f>
        <v/>
      </c>
      <c r="C60" s="55" t="n">
        <v>2</v>
      </c>
      <c r="D60" s="55" t="n">
        <v>2</v>
      </c>
      <c r="E60" s="55" t="n">
        <v>2</v>
      </c>
      <c r="F60" s="55" t="n">
        <v>2</v>
      </c>
      <c r="G60" s="55" t="n">
        <v>2</v>
      </c>
      <c r="H60" s="32">
        <f>IF(A60="","",SUM(C60,D60,E60,F60,G60))</f>
        <v/>
      </c>
      <c r="I60" s="19">
        <f>IF(H60="","",_xlfn.IFS(H60&gt;=27,"S",H60&gt;=24,"A",H60&gt;=21,"B",H60&gt;=18,"C",TRUE,"D"))</f>
        <v/>
      </c>
      <c r="J60" s="32">
        <f>IF(A60="","",F16)</f>
        <v/>
      </c>
      <c r="K60" s="32">
        <f>IF(A60="","",R38)</f>
        <v/>
      </c>
      <c r="L60" s="32">
        <f>IF(A60="","",J60+K60+H60)</f>
        <v/>
      </c>
      <c r="M60" s="19">
        <f>IF(L60="","",_xlfn.IFS(L60&gt;=90,"S",L60&gt;=82,"A",L60&gt;=70,"B",L60&gt;=60,"C",TRUE,"D"))</f>
        <v/>
      </c>
      <c r="N60" s="33">
        <f>IF(M60="","",_xlfn.IFS(M60="S","특별성과급 (연봉의 15%) + 연봉 인상 10%",M60="A","성과급 (연봉의 10%) + 연봉 인상 7%",M60="B","연봉 인상 3% (물가인상률 보전)",M60="C","동결 (PIP 대상)",TRUE,"동결 (경고 및 보직조정)"))</f>
        <v/>
      </c>
      <c r="O60" s="51" t="n"/>
    </row>
    <row r="61">
      <c r="A61" s="33">
        <f>IF(A17="","",A17)</f>
        <v/>
      </c>
      <c r="B61" s="19">
        <f>B17</f>
        <v/>
      </c>
      <c r="C61" s="55" t="n"/>
      <c r="D61" s="55" t="n"/>
      <c r="E61" s="55" t="n"/>
      <c r="F61" s="55" t="n"/>
      <c r="G61" s="55" t="n"/>
      <c r="H61" s="32">
        <f>IF(A61="","",SUM(C61,D61,E61,F61,G61))</f>
        <v/>
      </c>
      <c r="I61" s="19">
        <f>IF(H61="","",_xlfn.IFS(H61&gt;=27,"S",H61&gt;=24,"A",H61&gt;=21,"B",H61&gt;=18,"C",TRUE,"D"))</f>
        <v/>
      </c>
      <c r="J61" s="32">
        <f>IF(A61="","",F17)</f>
        <v/>
      </c>
      <c r="K61" s="32">
        <f>IF(A61="","",R39)</f>
        <v/>
      </c>
      <c r="L61" s="32">
        <f>IF(A61="","",J61+K61+H61)</f>
        <v/>
      </c>
      <c r="M61" s="19">
        <f>IF(L61="","",_xlfn.IFS(L61&gt;=90,"S",L61&gt;=82,"A",L61&gt;=70,"B",L61&gt;=60,"C",TRUE,"D"))</f>
        <v/>
      </c>
      <c r="N61" s="33">
        <f>IF(M61="","",_xlfn.IFS(M61="S","특별성과급 (연봉의 15%) + 연봉 인상 10%",M61="A","성과급 (연봉의 10%) + 연봉 인상 7%",M61="B","연봉 인상 3% (물가인상률 보전)",M61="C","동결 (PIP 대상)",TRUE,"동결 (경고 및 보직조정)"))</f>
        <v/>
      </c>
      <c r="O61" s="51" t="n"/>
    </row>
    <row r="62">
      <c r="A62" s="33">
        <f>IF(A18="","",A18)</f>
        <v/>
      </c>
      <c r="B62" s="19">
        <f>B18</f>
        <v/>
      </c>
      <c r="C62" s="55" t="n"/>
      <c r="D62" s="55" t="n"/>
      <c r="E62" s="55" t="n"/>
      <c r="F62" s="55" t="n"/>
      <c r="G62" s="55" t="n"/>
      <c r="H62" s="32">
        <f>IF(A62="","",SUM(C62,D62,E62,F62,G62))</f>
        <v/>
      </c>
      <c r="I62" s="19">
        <f>IF(H62="","",_xlfn.IFS(H62&gt;=27,"S",H62&gt;=24,"A",H62&gt;=21,"B",H62&gt;=18,"C",TRUE,"D"))</f>
        <v/>
      </c>
      <c r="J62" s="32">
        <f>IF(A62="","",F18)</f>
        <v/>
      </c>
      <c r="K62" s="32">
        <f>IF(A62="","",R40)</f>
        <v/>
      </c>
      <c r="L62" s="32">
        <f>IF(A62="","",J62+K62+H62)</f>
        <v/>
      </c>
      <c r="M62" s="19">
        <f>IF(L62="","",_xlfn.IFS(L62&gt;=90,"S",L62&gt;=82,"A",L62&gt;=70,"B",L62&gt;=60,"C",TRUE,"D"))</f>
        <v/>
      </c>
      <c r="N62" s="33">
        <f>IF(M62="","",_xlfn.IFS(M62="S","특별성과급 (연봉의 15%) + 연봉 인상 10%",M62="A","성과급 (연봉의 10%) + 연봉 인상 7%",M62="B","연봉 인상 3% (물가인상률 보전)",M62="C","동결 (PIP 대상)",TRUE,"동결 (경고 및 보직조정)"))</f>
        <v/>
      </c>
      <c r="O62" s="51" t="n"/>
    </row>
    <row r="63">
      <c r="A63" s="33">
        <f>IF(A19="","",A19)</f>
        <v/>
      </c>
      <c r="B63" s="19">
        <f>B19</f>
        <v/>
      </c>
      <c r="C63" s="55" t="n"/>
      <c r="D63" s="55" t="n"/>
      <c r="E63" s="55" t="n"/>
      <c r="F63" s="55" t="n"/>
      <c r="G63" s="55" t="n"/>
      <c r="H63" s="32">
        <f>IF(A63="","",SUM(C63,D63,E63,F63,G63))</f>
        <v/>
      </c>
      <c r="I63" s="19">
        <f>IF(H63="","",_xlfn.IFS(H63&gt;=27,"S",H63&gt;=24,"A",H63&gt;=21,"B",H63&gt;=18,"C",TRUE,"D"))</f>
        <v/>
      </c>
      <c r="J63" s="32">
        <f>IF(A63="","",F19)</f>
        <v/>
      </c>
      <c r="K63" s="32">
        <f>IF(A63="","",R41)</f>
        <v/>
      </c>
      <c r="L63" s="32">
        <f>IF(A63="","",J63+K63+H63)</f>
        <v/>
      </c>
      <c r="M63" s="19">
        <f>IF(L63="","",_xlfn.IFS(L63&gt;=90,"S",L63&gt;=82,"A",L63&gt;=70,"B",L63&gt;=60,"C",TRUE,"D"))</f>
        <v/>
      </c>
      <c r="N63" s="33">
        <f>IF(M63="","",_xlfn.IFS(M63="S","특별성과급 (연봉의 15%) + 연봉 인상 10%",M63="A","성과급 (연봉의 10%) + 연봉 인상 7%",M63="B","연봉 인상 3% (물가인상률 보전)",M63="C","동결 (PIP 대상)",TRUE,"동결 (경고 및 보직조정)"))</f>
        <v/>
      </c>
      <c r="O63" s="51" t="n"/>
    </row>
    <row r="64">
      <c r="A64" s="33">
        <f>IF(A20="","",A20)</f>
        <v/>
      </c>
      <c r="B64" s="19">
        <f>B20</f>
        <v/>
      </c>
      <c r="C64" s="55" t="n"/>
      <c r="D64" s="55" t="n"/>
      <c r="E64" s="55" t="n"/>
      <c r="F64" s="55" t="n"/>
      <c r="G64" s="55" t="n"/>
      <c r="H64" s="32">
        <f>IF(A64="","",SUM(C64,D64,E64,F64,G64))</f>
        <v/>
      </c>
      <c r="I64" s="19">
        <f>IF(H64="","",_xlfn.IFS(H64&gt;=27,"S",H64&gt;=24,"A",H64&gt;=21,"B",H64&gt;=18,"C",TRUE,"D"))</f>
        <v/>
      </c>
      <c r="J64" s="32">
        <f>IF(A64="","",F20)</f>
        <v/>
      </c>
      <c r="K64" s="32">
        <f>IF(A64="","",R42)</f>
        <v/>
      </c>
      <c r="L64" s="32">
        <f>IF(A64="","",J64+K64+H64)</f>
        <v/>
      </c>
      <c r="M64" s="19">
        <f>IF(L64="","",_xlfn.IFS(L64&gt;=90,"S",L64&gt;=82,"A",L64&gt;=70,"B",L64&gt;=60,"C",TRUE,"D"))</f>
        <v/>
      </c>
      <c r="N64" s="33">
        <f>IF(M64="","",_xlfn.IFS(M64="S","특별성과급 (연봉의 15%) + 연봉 인상 10%",M64="A","성과급 (연봉의 10%) + 연봉 인상 7%",M64="B","연봉 인상 3% (물가인상률 보전)",M64="C","동결 (PIP 대상)",TRUE,"동결 (경고 및 보직조정)"))</f>
        <v/>
      </c>
      <c r="O64" s="51" t="n"/>
    </row>
    <row r="65">
      <c r="A65" s="33">
        <f>IF(A21="","",A21)</f>
        <v/>
      </c>
      <c r="B65" s="19">
        <f>B21</f>
        <v/>
      </c>
      <c r="C65" s="55" t="n"/>
      <c r="D65" s="55" t="n"/>
      <c r="E65" s="55" t="n"/>
      <c r="F65" s="55" t="n"/>
      <c r="G65" s="55" t="n"/>
      <c r="H65" s="32">
        <f>IF(A65="","",SUM(C65,D65,E65,F65,G65))</f>
        <v/>
      </c>
      <c r="I65" s="19">
        <f>IF(H65="","",_xlfn.IFS(H65&gt;=27,"S",H65&gt;=24,"A",H65&gt;=21,"B",H65&gt;=18,"C",TRUE,"D"))</f>
        <v/>
      </c>
      <c r="J65" s="32">
        <f>IF(A65="","",F21)</f>
        <v/>
      </c>
      <c r="K65" s="32">
        <f>IF(A65="","",R43)</f>
        <v/>
      </c>
      <c r="L65" s="32">
        <f>IF(A65="","",J65+K65+H65)</f>
        <v/>
      </c>
      <c r="M65" s="19">
        <f>IF(L65="","",_xlfn.IFS(L65&gt;=90,"S",L65&gt;=82,"A",L65&gt;=70,"B",L65&gt;=60,"C",TRUE,"D"))</f>
        <v/>
      </c>
      <c r="N65" s="33">
        <f>IF(M65="","",_xlfn.IFS(M65="S","특별성과급 (연봉의 15%) + 연봉 인상 10%",M65="A","성과급 (연봉의 10%) + 연봉 인상 7%",M65="B","연봉 인상 3% (물가인상률 보전)",M65="C","동결 (PIP 대상)",TRUE,"동결 (경고 및 보직조정)"))</f>
        <v/>
      </c>
      <c r="O65" s="51" t="n"/>
    </row>
    <row r="66">
      <c r="A66" s="10" t="inlineStr">
        <is>
          <t>팀 평균 / 합계</t>
        </is>
      </c>
      <c r="C66" s="62" t="n"/>
      <c r="D66" s="62" t="n"/>
      <c r="E66" s="62" t="n"/>
      <c r="F66" s="62" t="n"/>
      <c r="G66" s="62" t="n"/>
      <c r="H66" s="34">
        <f>AVERAGE(H51:H65)</f>
        <v/>
      </c>
      <c r="I66" s="10" t="inlineStr">
        <is>
          <t>-</t>
        </is>
      </c>
      <c r="J66" s="34">
        <f>F6</f>
        <v/>
      </c>
      <c r="K66" s="34">
        <f>AVERAGE(K51:K65)</f>
        <v/>
      </c>
      <c r="L66" s="34">
        <f>AVERAGE(L51:L65)</f>
        <v/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</row>
  </sheetData>
  <mergeCells count="42">
    <mergeCell ref="L50:O50"/>
    <mergeCell ref="E1:S1"/>
    <mergeCell ref="A46:I46"/>
    <mergeCell ref="O26:Q26"/>
    <mergeCell ref="A4:G4"/>
    <mergeCell ref="J47:J49"/>
    <mergeCell ref="F26:H26"/>
    <mergeCell ref="A47:A49"/>
    <mergeCell ref="M47:M49"/>
    <mergeCell ref="G47"/>
    <mergeCell ref="O25:Q25"/>
    <mergeCell ref="L26:N26"/>
    <mergeCell ref="H47:H49"/>
    <mergeCell ref="L25:N25"/>
    <mergeCell ref="E47"/>
    <mergeCell ref="A66:B66"/>
    <mergeCell ref="B25:B27"/>
    <mergeCell ref="S25:S27"/>
    <mergeCell ref="B47:B49"/>
    <mergeCell ref="A24:S24"/>
    <mergeCell ref="J46:O46"/>
    <mergeCell ref="A1:D1"/>
    <mergeCell ref="L47:L49"/>
    <mergeCell ref="N47:N49"/>
    <mergeCell ref="I47:I49"/>
    <mergeCell ref="R25:R27"/>
    <mergeCell ref="C47"/>
    <mergeCell ref="A22:B22"/>
    <mergeCell ref="F25:H25"/>
    <mergeCell ref="C50:I50"/>
    <mergeCell ref="A25:A27"/>
    <mergeCell ref="K47:K49"/>
    <mergeCell ref="D47"/>
    <mergeCell ref="C26:E26"/>
    <mergeCell ref="I26:K26"/>
    <mergeCell ref="A44:B44"/>
    <mergeCell ref="F47"/>
    <mergeCell ref="O47:O49"/>
    <mergeCell ref="C28:S28"/>
    <mergeCell ref="A2:S2"/>
    <mergeCell ref="C25:E25"/>
    <mergeCell ref="I25:K25"/>
  </mergeCells>
  <conditionalFormatting sqref="G6:G2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S29:S43">
    <cfRule type="cellIs" priority="6" operator="equal" dxfId="0">
      <formula>"S"</formula>
    </cfRule>
    <cfRule type="cellIs" priority="7" operator="equal" dxfId="1">
      <formula>"A"</formula>
    </cfRule>
    <cfRule type="cellIs" priority="8" operator="equal" dxfId="2">
      <formula>"B"</formula>
    </cfRule>
    <cfRule type="cellIs" priority="9" operator="equal" dxfId="3">
      <formula>"C"</formula>
    </cfRule>
    <cfRule type="cellIs" priority="10" operator="equal" dxfId="4">
      <formula>"D"</formula>
    </cfRule>
  </conditionalFormatting>
  <conditionalFormatting sqref="I51:I65">
    <cfRule type="cellIs" priority="11" operator="equal" dxfId="0">
      <formula>"S"</formula>
    </cfRule>
    <cfRule type="cellIs" priority="12" operator="equal" dxfId="1">
      <formula>"A"</formula>
    </cfRule>
    <cfRule type="cellIs" priority="13" operator="equal" dxfId="2">
      <formula>"B"</formula>
    </cfRule>
    <cfRule type="cellIs" priority="14" operator="equal" dxfId="3">
      <formula>"C"</formula>
    </cfRule>
    <cfRule type="cellIs" priority="15" operator="equal" dxfId="4">
      <formula>"D"</formula>
    </cfRule>
  </conditionalFormatting>
  <conditionalFormatting sqref="M51:M65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"B"</formula>
    </cfRule>
    <cfRule type="cellIs" priority="19" operator="equal" dxfId="3">
      <formula>"C"</formula>
    </cfRule>
    <cfRule type="cellIs" priority="20" operator="equal" dxfId="4">
      <formula>"D"</formula>
    </cfRule>
  </conditionalFormatting>
  <dataValidations count="3">
    <dataValidation sqref="C7:C21 D7:D21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29:D43 F29:G43 I29:J43 L29:M43 O29:P43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51:G65" showDropDown="0" showInputMessage="0" showErrorMessage="0" allowBlank="0" errorTitle="점수 범위 오류" error="0~6 사이의 정수로 입력해주세요." type="whole" operator="between">
      <formula1>0</formula1>
      <formula2>6</formula2>
    </dataValidation>
  </dataValidation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26" customWidth="1" min="14" max="14"/>
    <col width="18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25" t="inlineStr">
        <is>
          <t>🏠 사용안내로 이동</t>
        </is>
      </c>
      <c r="E1" s="25" t="inlineStr">
        <is>
          <t>📊 전사 종합요약 보기</t>
        </is>
      </c>
    </row>
    <row r="2" ht="46" customHeight="1">
      <c r="A2" s="24" t="inlineStr">
        <is>
          <t>PS (Problem Solver) — 고객의 Operational Problem 해결과 실제 의사결정 개선에 책임   |   ✏️ 이 시트는 잠금이 해제되어 모든 셀을 수정할 수 있습니다. 노란 셀=입력용, 회색 셀=자동계산 수식, 하늘색 셀=고정 항목이니 참고해서 편집하세요. ①결과지표 ②개별성과 ③역량평가+종합 표가 위에서 아래로 나열되어 있으며, 이름·직책은 ①표에 입력하면 ②③표에 자동으로 채워집니다(직접 고쳐도 되지만 그러면 자동연동이 끊깁니다).</t>
        </is>
      </c>
    </row>
    <row r="4">
      <c r="A4" s="4" t="inlineStr">
        <is>
          <t>① 결과지표 · 팀 공동 (50점)</t>
        </is>
      </c>
    </row>
    <row r="5" ht="24" customHeight="1">
      <c r="A5" s="4" t="inlineStr">
        <is>
          <t>이름</t>
        </is>
      </c>
      <c r="B5" s="4" t="inlineStr">
        <is>
          <t>직책</t>
        </is>
      </c>
      <c r="C5" s="4" t="inlineStr">
        <is>
          <t>실적</t>
        </is>
      </c>
      <c r="D5" s="4" t="inlineStr">
        <is>
          <t>목표</t>
        </is>
      </c>
      <c r="E5" s="4" t="inlineStr">
        <is>
          <t>달성률</t>
        </is>
      </c>
      <c r="F5" s="4" t="inlineStr">
        <is>
          <t>점수
(50)</t>
        </is>
      </c>
      <c r="G5" s="4" t="inlineStr">
        <is>
          <t>등급</t>
        </is>
      </c>
    </row>
    <row r="6">
      <c r="A6" s="51" t="inlineStr">
        <is>
          <t>성춘향(예시)</t>
        </is>
      </c>
      <c r="B6" s="52" t="inlineStr">
        <is>
          <t>팀리더</t>
        </is>
      </c>
      <c r="C6" s="40">
        <f>SUM(C7:C21)</f>
        <v/>
      </c>
      <c r="D6" s="53" t="n">
        <v>25</v>
      </c>
      <c r="E6" s="54">
        <f>IF(D6=0,"",C6/D6)</f>
        <v/>
      </c>
      <c r="F6" s="32">
        <f>IF(E6="","",MIN(E6*50,50))</f>
        <v/>
      </c>
      <c r="G6" s="19">
        <f>IF(F6="","",_xlfn.IFS(F6&gt;=48,"S",F6&gt;=45,"A",F6&gt;=42,"B",F6&gt;=38,"C",TRUE,"D"))</f>
        <v/>
      </c>
    </row>
    <row r="7">
      <c r="A7" s="51" t="inlineStr">
        <is>
          <t>강산들(예시)</t>
        </is>
      </c>
      <c r="B7" s="19" t="inlineStr">
        <is>
          <t>팀원</t>
        </is>
      </c>
      <c r="C7" s="55" t="n">
        <v>5</v>
      </c>
      <c r="D7" s="55" t="n">
        <v>5</v>
      </c>
      <c r="E7" s="54">
        <f>IF(OR(A7="",D7=""),"",C7/D7)</f>
        <v/>
      </c>
      <c r="F7" s="32">
        <f>IF(A7="","",F6)</f>
        <v/>
      </c>
      <c r="G7" s="19">
        <f>IF(A7="","",G6)</f>
        <v/>
      </c>
    </row>
    <row r="8">
      <c r="A8" s="51" t="inlineStr">
        <is>
          <t>윤슬기(예시)</t>
        </is>
      </c>
      <c r="B8" s="19" t="inlineStr">
        <is>
          <t>팀원</t>
        </is>
      </c>
      <c r="C8" s="55" t="n">
        <v>5</v>
      </c>
      <c r="D8" s="55" t="n">
        <v>5</v>
      </c>
      <c r="E8" s="54">
        <f>IF(OR(A8="",D8=""),"",C8/D8)</f>
        <v/>
      </c>
      <c r="F8" s="32">
        <f>IF(A8="","",F6)</f>
        <v/>
      </c>
      <c r="G8" s="19">
        <f>IF(A8="","",G6)</f>
        <v/>
      </c>
    </row>
    <row r="9">
      <c r="A9" s="51" t="inlineStr">
        <is>
          <t>조은별(예시)</t>
        </is>
      </c>
      <c r="B9" s="19" t="inlineStr">
        <is>
          <t>팀원</t>
        </is>
      </c>
      <c r="C9" s="55" t="n">
        <v>4</v>
      </c>
      <c r="D9" s="55" t="n">
        <v>5</v>
      </c>
      <c r="E9" s="54">
        <f>IF(OR(A9="",D9=""),"",C9/D9)</f>
        <v/>
      </c>
      <c r="F9" s="32">
        <f>IF(A9="","",F6)</f>
        <v/>
      </c>
      <c r="G9" s="19">
        <f>IF(A9="","",G6)</f>
        <v/>
      </c>
    </row>
    <row r="10">
      <c r="A10" s="51" t="inlineStr">
        <is>
          <t>백서윤(예시)</t>
        </is>
      </c>
      <c r="B10" s="19" t="inlineStr">
        <is>
          <t>팀원</t>
        </is>
      </c>
      <c r="C10" s="55" t="n">
        <v>4</v>
      </c>
      <c r="D10" s="55" t="n">
        <v>5</v>
      </c>
      <c r="E10" s="54">
        <f>IF(OR(A10="",D10=""),"",C10/D10)</f>
        <v/>
      </c>
      <c r="F10" s="32">
        <f>IF(A10="","",F6)</f>
        <v/>
      </c>
      <c r="G10" s="19">
        <f>IF(A10="","",G6)</f>
        <v/>
      </c>
    </row>
    <row r="11">
      <c r="A11" s="51" t="inlineStr">
        <is>
          <t>남지호(예시)</t>
        </is>
      </c>
      <c r="B11" s="19" t="inlineStr">
        <is>
          <t>팀원</t>
        </is>
      </c>
      <c r="C11" s="55" t="n">
        <v>4</v>
      </c>
      <c r="D11" s="55" t="n">
        <v>5</v>
      </c>
      <c r="E11" s="54">
        <f>IF(OR(A11="",D11=""),"",C11/D11)</f>
        <v/>
      </c>
      <c r="F11" s="32">
        <f>IF(A11="","",F6)</f>
        <v/>
      </c>
      <c r="G11" s="19">
        <f>IF(A11="","",G6)</f>
        <v/>
      </c>
    </row>
    <row r="12">
      <c r="A12" s="51" t="inlineStr">
        <is>
          <t>문지훈(예시)</t>
        </is>
      </c>
      <c r="B12" s="19" t="inlineStr">
        <is>
          <t>팀원</t>
        </is>
      </c>
      <c r="C12" s="55" t="n">
        <v>3</v>
      </c>
      <c r="D12" s="55" t="n">
        <v>5</v>
      </c>
      <c r="E12" s="54">
        <f>IF(OR(A12="",D12=""),"",C12/D12)</f>
        <v/>
      </c>
      <c r="F12" s="32">
        <f>IF(A12="","",F6)</f>
        <v/>
      </c>
      <c r="G12" s="19">
        <f>IF(A12="","",G6)</f>
        <v/>
      </c>
    </row>
    <row r="13">
      <c r="A13" s="51" t="inlineStr">
        <is>
          <t>손예은(예시)</t>
        </is>
      </c>
      <c r="B13" s="19" t="inlineStr">
        <is>
          <t>팀원</t>
        </is>
      </c>
      <c r="C13" s="55" t="n">
        <v>3</v>
      </c>
      <c r="D13" s="55" t="n">
        <v>5</v>
      </c>
      <c r="E13" s="54">
        <f>IF(OR(A13="",D13=""),"",C13/D13)</f>
        <v/>
      </c>
      <c r="F13" s="32">
        <f>IF(A13="","",F6)</f>
        <v/>
      </c>
      <c r="G13" s="19">
        <f>IF(A13="","",G6)</f>
        <v/>
      </c>
    </row>
    <row r="14">
      <c r="A14" s="51" t="inlineStr">
        <is>
          <t>배승우(예시)</t>
        </is>
      </c>
      <c r="B14" s="19" t="inlineStr">
        <is>
          <t>팀원</t>
        </is>
      </c>
      <c r="C14" s="55" t="n">
        <v>3</v>
      </c>
      <c r="D14" s="55" t="n">
        <v>5</v>
      </c>
      <c r="E14" s="54">
        <f>IF(OR(A14="",D14=""),"",C14/D14)</f>
        <v/>
      </c>
      <c r="F14" s="32">
        <f>IF(A14="","",F6)</f>
        <v/>
      </c>
      <c r="G14" s="19">
        <f>IF(A14="","",G6)</f>
        <v/>
      </c>
    </row>
    <row r="15">
      <c r="A15" s="51" t="inlineStr">
        <is>
          <t>임서현(예시)</t>
        </is>
      </c>
      <c r="B15" s="19" t="inlineStr">
        <is>
          <t>팀원</t>
        </is>
      </c>
      <c r="C15" s="55" t="n">
        <v>2</v>
      </c>
      <c r="D15" s="55" t="n">
        <v>5</v>
      </c>
      <c r="E15" s="54">
        <f>IF(OR(A15="",D15=""),"",C15/D15)</f>
        <v/>
      </c>
      <c r="F15" s="32">
        <f>IF(A15="","",F6)</f>
        <v/>
      </c>
      <c r="G15" s="19">
        <f>IF(A15="","",G6)</f>
        <v/>
      </c>
    </row>
    <row r="16">
      <c r="A16" s="51" t="inlineStr">
        <is>
          <t>곽민재(예시)</t>
        </is>
      </c>
      <c r="B16" s="19" t="inlineStr">
        <is>
          <t>팀원</t>
        </is>
      </c>
      <c r="C16" s="55" t="n">
        <v>2</v>
      </c>
      <c r="D16" s="55" t="n">
        <v>5</v>
      </c>
      <c r="E16" s="54">
        <f>IF(OR(A16="",D16=""),"",C16/D16)</f>
        <v/>
      </c>
      <c r="F16" s="32">
        <f>IF(A16="","",F6)</f>
        <v/>
      </c>
      <c r="G16" s="19">
        <f>IF(A16="","",G6)</f>
        <v/>
      </c>
    </row>
    <row r="17">
      <c r="A17" s="51" t="n"/>
      <c r="B17" s="19" t="inlineStr">
        <is>
          <t>팀원</t>
        </is>
      </c>
      <c r="C17" s="55" t="n"/>
      <c r="D17" s="55" t="n"/>
      <c r="E17" s="54">
        <f>IF(OR(A17="",D17=""),"",C17/D17)</f>
        <v/>
      </c>
      <c r="F17" s="32">
        <f>IF(A17="","",F6)</f>
        <v/>
      </c>
      <c r="G17" s="19">
        <f>IF(A17="","",G6)</f>
        <v/>
      </c>
    </row>
    <row r="18">
      <c r="A18" s="51" t="n"/>
      <c r="B18" s="19" t="inlineStr">
        <is>
          <t>팀원</t>
        </is>
      </c>
      <c r="C18" s="55" t="n"/>
      <c r="D18" s="55" t="n"/>
      <c r="E18" s="54">
        <f>IF(OR(A18="",D18=""),"",C18/D18)</f>
        <v/>
      </c>
      <c r="F18" s="32">
        <f>IF(A18="","",F6)</f>
        <v/>
      </c>
      <c r="G18" s="19">
        <f>IF(A18="","",G6)</f>
        <v/>
      </c>
    </row>
    <row r="19">
      <c r="A19" s="51" t="n"/>
      <c r="B19" s="19" t="inlineStr">
        <is>
          <t>팀원</t>
        </is>
      </c>
      <c r="C19" s="55" t="n"/>
      <c r="D19" s="55" t="n"/>
      <c r="E19" s="54">
        <f>IF(OR(A19="",D19=""),"",C19/D19)</f>
        <v/>
      </c>
      <c r="F19" s="32">
        <f>IF(A19="","",F6)</f>
        <v/>
      </c>
      <c r="G19" s="19">
        <f>IF(A19="","",G6)</f>
        <v/>
      </c>
    </row>
    <row r="20">
      <c r="A20" s="51" t="n"/>
      <c r="B20" s="19" t="inlineStr">
        <is>
          <t>팀원</t>
        </is>
      </c>
      <c r="C20" s="55" t="n"/>
      <c r="D20" s="55" t="n"/>
      <c r="E20" s="54">
        <f>IF(OR(A20="",D20=""),"",C20/D20)</f>
        <v/>
      </c>
      <c r="F20" s="32">
        <f>IF(A20="","",F6)</f>
        <v/>
      </c>
      <c r="G20" s="19">
        <f>IF(A20="","",G6)</f>
        <v/>
      </c>
    </row>
    <row r="21">
      <c r="A21" s="51" t="n"/>
      <c r="B21" s="19" t="inlineStr">
        <is>
          <t>팀원</t>
        </is>
      </c>
      <c r="C21" s="55" t="n"/>
      <c r="D21" s="55" t="n"/>
      <c r="E21" s="54">
        <f>IF(OR(A21="",D21=""),"",C21/D21)</f>
        <v/>
      </c>
      <c r="F21" s="32">
        <f>IF(A21="","",F6)</f>
        <v/>
      </c>
      <c r="G21" s="19">
        <f>IF(A21="","",G6)</f>
        <v/>
      </c>
    </row>
    <row r="22">
      <c r="A22" s="10" t="inlineStr">
        <is>
          <t>팀 평균 / 합계</t>
        </is>
      </c>
      <c r="C22" s="56">
        <f>SUM(C7:C21)</f>
        <v/>
      </c>
      <c r="D22" s="10" t="inlineStr">
        <is>
          <t>-</t>
        </is>
      </c>
      <c r="E22" s="10" t="inlineStr">
        <is>
          <t>-</t>
        </is>
      </c>
      <c r="F22" s="34">
        <f>F6</f>
        <v/>
      </c>
      <c r="G22" s="10">
        <f>G6</f>
        <v/>
      </c>
    </row>
    <row r="24">
      <c r="A24" s="6" t="inlineStr">
        <is>
          <t>② 개별성과 · 정량 (과정지표Ⅰ, 20점)</t>
        </is>
      </c>
    </row>
    <row r="25" ht="30" customHeight="1">
      <c r="A25" s="2" t="inlineStr">
        <is>
          <t>이름
(①표 자동)</t>
        </is>
      </c>
      <c r="B25" s="2" t="inlineStr">
        <is>
          <t>직책
(①표 자동)</t>
        </is>
      </c>
      <c r="C25" s="57" t="inlineStr">
        <is>
          <t>1. Problem Definition
&amp; Solution Quality</t>
        </is>
      </c>
      <c r="F25" s="57" t="inlineStr">
        <is>
          <t>2. Business Impact
&amp; Adoption</t>
        </is>
      </c>
      <c r="I25" s="58" t="inlineStr">
        <is>
          <t>3. (예시) 현장실사 지원</t>
        </is>
      </c>
      <c r="L25" s="58" t="inlineStr">
        <is>
          <t>4. (예시) 기술 PT 지원</t>
        </is>
      </c>
      <c r="O25" s="58" t="inlineStr">
        <is>
          <t>5. (예시) 수리모델 프로토타입 개발</t>
        </is>
      </c>
      <c r="R25" s="6" t="inlineStr">
        <is>
          <t>소계
(20)</t>
        </is>
      </c>
      <c r="S25" s="6" t="inlineStr">
        <is>
          <t>등급</t>
        </is>
      </c>
    </row>
    <row r="26" ht="42" customHeight="1">
      <c r="C26" s="59" t="inlineStr">
        <is>
          <t>[대표 원칙 고정] 고객 문제정의서·솔루션 설계서 작성 및 내부 승인 완료 건수
계산 예시: 실적 8건 ÷ 목표 10건 × 4점 = 3.2점</t>
        </is>
      </c>
      <c r="F26" s="59" t="inlineStr">
        <is>
          <t>[대표 원칙 고정] 고객 운영 반영(PoC→정식 도입) 및 성과 측정 보고 완료 건수
계산 예시: 실적 4건 ÷ 목표 5건 × 4점 = 3.2점</t>
        </is>
      </c>
      <c r="I26" s="21" t="inlineStr">
        <is>
          <t>이 항목명은 예시입니다. 팀 고유 KPI로 교체하세요.
계산식 예시: 실적 ÷ 목표 × 4점 = 점수</t>
        </is>
      </c>
      <c r="L26" s="21" t="inlineStr">
        <is>
          <t>이 항목명은 예시입니다. 팀 고유 KPI로 교체하세요.
계산식 예시: 실적 ÷ 목표 × 4점 = 점수</t>
        </is>
      </c>
      <c r="O26" s="21" t="inlineStr">
        <is>
          <t>이 항목명은 예시입니다. 팀 고유 KPI로 교체하세요.
계산식 예시: 실적 ÷ 목표 × 4점 = 점수</t>
        </is>
      </c>
    </row>
    <row r="27" ht="22" customHeight="1">
      <c r="C27" s="60" t="inlineStr">
        <is>
          <t>실적</t>
        </is>
      </c>
      <c r="D27" s="60" t="inlineStr">
        <is>
          <t>목표</t>
        </is>
      </c>
      <c r="E27" s="60" t="inlineStr">
        <is>
          <t>점수
(4)</t>
        </is>
      </c>
      <c r="F27" s="60" t="inlineStr">
        <is>
          <t>실적</t>
        </is>
      </c>
      <c r="G27" s="60" t="inlineStr">
        <is>
          <t>목표</t>
        </is>
      </c>
      <c r="H27" s="60" t="inlineStr">
        <is>
          <t>점수
(4)</t>
        </is>
      </c>
      <c r="I27" s="60" t="inlineStr">
        <is>
          <t>실적</t>
        </is>
      </c>
      <c r="J27" s="60" t="inlineStr">
        <is>
          <t>목표</t>
        </is>
      </c>
      <c r="K27" s="60" t="inlineStr">
        <is>
          <t>점수
(4)</t>
        </is>
      </c>
      <c r="L27" s="60" t="inlineStr">
        <is>
          <t>실적</t>
        </is>
      </c>
      <c r="M27" s="60" t="inlineStr">
        <is>
          <t>목표</t>
        </is>
      </c>
      <c r="N27" s="60" t="inlineStr">
        <is>
          <t>점수
(4)</t>
        </is>
      </c>
      <c r="O27" s="60" t="inlineStr">
        <is>
          <t>실적</t>
        </is>
      </c>
      <c r="P27" s="60" t="inlineStr">
        <is>
          <t>목표</t>
        </is>
      </c>
      <c r="Q27" s="60" t="inlineStr">
        <is>
          <t>점수
(4)</t>
        </is>
      </c>
    </row>
    <row r="28" ht="30" customHeight="1">
      <c r="A28" s="33">
        <f>IF(A6="","",A6)</f>
        <v/>
      </c>
      <c r="B28" s="19">
        <f>B6</f>
        <v/>
      </c>
      <c r="C28" s="61" t="inlineStr">
        <is>
          <t>팀리더는 개별성과(정량) 항목 해당 없음 — 팀 결과지표·역량평가 중심으로 평가</t>
        </is>
      </c>
    </row>
    <row r="29">
      <c r="A29" s="33">
        <f>IF(A7="","",A7)</f>
        <v/>
      </c>
      <c r="B29" s="19">
        <f>B7</f>
        <v/>
      </c>
      <c r="C29" s="55" t="n">
        <v>10</v>
      </c>
      <c r="D29" s="55" t="n">
        <v>10</v>
      </c>
      <c r="E29" s="32">
        <f>IF(OR(A29="",D29="",D29=0),"",MIN(C29/D29*4,4))</f>
        <v/>
      </c>
      <c r="F29" s="55" t="n">
        <v>5</v>
      </c>
      <c r="G29" s="55" t="n">
        <v>5</v>
      </c>
      <c r="H29" s="32">
        <f>IF(OR(A29="",G29="",G29=0),"",MIN(F29/G29*4,4))</f>
        <v/>
      </c>
      <c r="I29" s="55" t="n">
        <v>6</v>
      </c>
      <c r="J29" s="55" t="n">
        <v>6</v>
      </c>
      <c r="K29" s="32">
        <f>IF(OR(A29="",J29="",J29=0),"",MIN(I29/J29*4,4))</f>
        <v/>
      </c>
      <c r="L29" s="55" t="n">
        <v>3</v>
      </c>
      <c r="M29" s="55" t="n">
        <v>3</v>
      </c>
      <c r="N29" s="32">
        <f>IF(OR(A29="",M29="",M29=0),"",MIN(L29/M29*4,4))</f>
        <v/>
      </c>
      <c r="O29" s="55" t="n">
        <v>4</v>
      </c>
      <c r="P29" s="55" t="n">
        <v>4</v>
      </c>
      <c r="Q29" s="32">
        <f>IF(OR(A29="",P29="",P29=0),"",MIN(O29/P29*4,4))</f>
        <v/>
      </c>
      <c r="R29" s="32">
        <f>IF(A29="","",SUM(E29,H29,K29,N29,Q29))</f>
        <v/>
      </c>
      <c r="S29" s="19">
        <f>IF(R29="","",_xlfn.IFS(R29&gt;=18,"S",R29&gt;=16,"A",R29&gt;=14,"B",R29&gt;=11,"C",TRUE,"D"))</f>
        <v/>
      </c>
    </row>
    <row r="30">
      <c r="A30" s="33">
        <f>IF(A8="","",A8)</f>
        <v/>
      </c>
      <c r="B30" s="19">
        <f>B8</f>
        <v/>
      </c>
      <c r="C30" s="55" t="n">
        <v>9</v>
      </c>
      <c r="D30" s="55" t="n">
        <v>10</v>
      </c>
      <c r="E30" s="32">
        <f>IF(OR(A30="",D30="",D30=0),"",MIN(C30/D30*4,4))</f>
        <v/>
      </c>
      <c r="F30" s="55" t="n">
        <v>5</v>
      </c>
      <c r="G30" s="55" t="n">
        <v>5</v>
      </c>
      <c r="H30" s="32">
        <f>IF(OR(A30="",G30="",G30=0),"",MIN(F30/G30*4,4))</f>
        <v/>
      </c>
      <c r="I30" s="55" t="n">
        <v>6</v>
      </c>
      <c r="J30" s="55" t="n">
        <v>6</v>
      </c>
      <c r="K30" s="32">
        <f>IF(OR(A30="",J30="",J30=0),"",MIN(I30/J30*4,4))</f>
        <v/>
      </c>
      <c r="L30" s="55" t="n">
        <v>3</v>
      </c>
      <c r="M30" s="55" t="n">
        <v>3</v>
      </c>
      <c r="N30" s="32">
        <f>IF(OR(A30="",M30="",M30=0),"",MIN(L30/M30*4,4))</f>
        <v/>
      </c>
      <c r="O30" s="55" t="n">
        <v>4</v>
      </c>
      <c r="P30" s="55" t="n">
        <v>4</v>
      </c>
      <c r="Q30" s="32">
        <f>IF(OR(A30="",P30="",P30=0),"",MIN(O30/P30*4,4))</f>
        <v/>
      </c>
      <c r="R30" s="32">
        <f>IF(A30="","",SUM(E30,H30,K30,N30,Q30))</f>
        <v/>
      </c>
      <c r="S30" s="19">
        <f>IF(R30="","",_xlfn.IFS(R30&gt;=18,"S",R30&gt;=16,"A",R30&gt;=14,"B",R30&gt;=11,"C",TRUE,"D"))</f>
        <v/>
      </c>
    </row>
    <row r="31">
      <c r="A31" s="33">
        <f>IF(A9="","",A9)</f>
        <v/>
      </c>
      <c r="B31" s="19">
        <f>B9</f>
        <v/>
      </c>
      <c r="C31" s="55" t="n">
        <v>9</v>
      </c>
      <c r="D31" s="55" t="n">
        <v>10</v>
      </c>
      <c r="E31" s="32">
        <f>IF(OR(A31="",D31="",D31=0),"",MIN(C31/D31*4,4))</f>
        <v/>
      </c>
      <c r="F31" s="55" t="n">
        <v>4</v>
      </c>
      <c r="G31" s="55" t="n">
        <v>5</v>
      </c>
      <c r="H31" s="32">
        <f>IF(OR(A31="",G31="",G31=0),"",MIN(F31/G31*4,4))</f>
        <v/>
      </c>
      <c r="I31" s="55" t="n">
        <v>5</v>
      </c>
      <c r="J31" s="55" t="n">
        <v>6</v>
      </c>
      <c r="K31" s="32">
        <f>IF(OR(A31="",J31="",J31=0),"",MIN(I31/J31*4,4))</f>
        <v/>
      </c>
      <c r="L31" s="55" t="n">
        <v>3</v>
      </c>
      <c r="M31" s="55" t="n">
        <v>3</v>
      </c>
      <c r="N31" s="32">
        <f>IF(OR(A31="",M31="",M31=0),"",MIN(L31/M31*4,4))</f>
        <v/>
      </c>
      <c r="O31" s="55" t="n">
        <v>3</v>
      </c>
      <c r="P31" s="55" t="n">
        <v>4</v>
      </c>
      <c r="Q31" s="32">
        <f>IF(OR(A31="",P31="",P31=0),"",MIN(O31/P31*4,4))</f>
        <v/>
      </c>
      <c r="R31" s="32">
        <f>IF(A31="","",SUM(E31,H31,K31,N31,Q31))</f>
        <v/>
      </c>
      <c r="S31" s="19">
        <f>IF(R31="","",_xlfn.IFS(R31&gt;=18,"S",R31&gt;=16,"A",R31&gt;=14,"B",R31&gt;=11,"C",TRUE,"D"))</f>
        <v/>
      </c>
    </row>
    <row r="32">
      <c r="A32" s="33">
        <f>IF(A10="","",A10)</f>
        <v/>
      </c>
      <c r="B32" s="19">
        <f>B10</f>
        <v/>
      </c>
      <c r="C32" s="55" t="n">
        <v>8</v>
      </c>
      <c r="D32" s="55" t="n">
        <v>10</v>
      </c>
      <c r="E32" s="32">
        <f>IF(OR(A32="",D32="",D32=0),"",MIN(C32/D32*4,4))</f>
        <v/>
      </c>
      <c r="F32" s="55" t="n">
        <v>4</v>
      </c>
      <c r="G32" s="55" t="n">
        <v>5</v>
      </c>
      <c r="H32" s="32">
        <f>IF(OR(A32="",G32="",G32=0),"",MIN(F32/G32*4,4))</f>
        <v/>
      </c>
      <c r="I32" s="55" t="n">
        <v>5</v>
      </c>
      <c r="J32" s="55" t="n">
        <v>6</v>
      </c>
      <c r="K32" s="32">
        <f>IF(OR(A32="",J32="",J32=0),"",MIN(I32/J32*4,4))</f>
        <v/>
      </c>
      <c r="L32" s="55" t="n">
        <v>2</v>
      </c>
      <c r="M32" s="55" t="n">
        <v>3</v>
      </c>
      <c r="N32" s="32">
        <f>IF(OR(A32="",M32="",M32=0),"",MIN(L32/M32*4,4))</f>
        <v/>
      </c>
      <c r="O32" s="55" t="n">
        <v>3</v>
      </c>
      <c r="P32" s="55" t="n">
        <v>4</v>
      </c>
      <c r="Q32" s="32">
        <f>IF(OR(A32="",P32="",P32=0),"",MIN(O32/P32*4,4))</f>
        <v/>
      </c>
      <c r="R32" s="32">
        <f>IF(A32="","",SUM(E32,H32,K32,N32,Q32))</f>
        <v/>
      </c>
      <c r="S32" s="19">
        <f>IF(R32="","",_xlfn.IFS(R32&gt;=18,"S",R32&gt;=16,"A",R32&gt;=14,"B",R32&gt;=11,"C",TRUE,"D"))</f>
        <v/>
      </c>
    </row>
    <row r="33">
      <c r="A33" s="33">
        <f>IF(A11="","",A11)</f>
        <v/>
      </c>
      <c r="B33" s="19">
        <f>B11</f>
        <v/>
      </c>
      <c r="C33" s="55" t="n">
        <v>7</v>
      </c>
      <c r="D33" s="55" t="n">
        <v>10</v>
      </c>
      <c r="E33" s="32">
        <f>IF(OR(A33="",D33="",D33=0),"",MIN(C33/D33*4,4))</f>
        <v/>
      </c>
      <c r="F33" s="55" t="n">
        <v>4</v>
      </c>
      <c r="G33" s="55" t="n">
        <v>5</v>
      </c>
      <c r="H33" s="32">
        <f>IF(OR(A33="",G33="",G33=0),"",MIN(F33/G33*4,4))</f>
        <v/>
      </c>
      <c r="I33" s="55" t="n">
        <v>4</v>
      </c>
      <c r="J33" s="55" t="n">
        <v>6</v>
      </c>
      <c r="K33" s="32">
        <f>IF(OR(A33="",J33="",J33=0),"",MIN(I33/J33*4,4))</f>
        <v/>
      </c>
      <c r="L33" s="55" t="n">
        <v>2</v>
      </c>
      <c r="M33" s="55" t="n">
        <v>3</v>
      </c>
      <c r="N33" s="32">
        <f>IF(OR(A33="",M33="",M33=0),"",MIN(L33/M33*4,4))</f>
        <v/>
      </c>
      <c r="O33" s="55" t="n">
        <v>3</v>
      </c>
      <c r="P33" s="55" t="n">
        <v>4</v>
      </c>
      <c r="Q33" s="32">
        <f>IF(OR(A33="",P33="",P33=0),"",MIN(O33/P33*4,4))</f>
        <v/>
      </c>
      <c r="R33" s="32">
        <f>IF(A33="","",SUM(E33,H33,K33,N33,Q33))</f>
        <v/>
      </c>
      <c r="S33" s="19">
        <f>IF(R33="","",_xlfn.IFS(R33&gt;=18,"S",R33&gt;=16,"A",R33&gt;=14,"B",R33&gt;=11,"C",TRUE,"D"))</f>
        <v/>
      </c>
    </row>
    <row r="34">
      <c r="A34" s="33">
        <f>IF(A12="","",A12)</f>
        <v/>
      </c>
      <c r="B34" s="19">
        <f>B12</f>
        <v/>
      </c>
      <c r="C34" s="55" t="n">
        <v>7</v>
      </c>
      <c r="D34" s="55" t="n">
        <v>10</v>
      </c>
      <c r="E34" s="32">
        <f>IF(OR(A34="",D34="",D34=0),"",MIN(C34/D34*4,4))</f>
        <v/>
      </c>
      <c r="F34" s="55" t="n">
        <v>3</v>
      </c>
      <c r="G34" s="55" t="n">
        <v>5</v>
      </c>
      <c r="H34" s="32">
        <f>IF(OR(A34="",G34="",G34=0),"",MIN(F34/G34*4,4))</f>
        <v/>
      </c>
      <c r="I34" s="55" t="n">
        <v>4</v>
      </c>
      <c r="J34" s="55" t="n">
        <v>6</v>
      </c>
      <c r="K34" s="32">
        <f>IF(OR(A34="",J34="",J34=0),"",MIN(I34/J34*4,4))</f>
        <v/>
      </c>
      <c r="L34" s="55" t="n">
        <v>2</v>
      </c>
      <c r="M34" s="55" t="n">
        <v>3</v>
      </c>
      <c r="N34" s="32">
        <f>IF(OR(A34="",M34="",M34=0),"",MIN(L34/M34*4,4))</f>
        <v/>
      </c>
      <c r="O34" s="55" t="n">
        <v>3</v>
      </c>
      <c r="P34" s="55" t="n">
        <v>4</v>
      </c>
      <c r="Q34" s="32">
        <f>IF(OR(A34="",P34="",P34=0),"",MIN(O34/P34*4,4))</f>
        <v/>
      </c>
      <c r="R34" s="32">
        <f>IF(A34="","",SUM(E34,H34,K34,N34,Q34))</f>
        <v/>
      </c>
      <c r="S34" s="19">
        <f>IF(R34="","",_xlfn.IFS(R34&gt;=18,"S",R34&gt;=16,"A",R34&gt;=14,"B",R34&gt;=11,"C",TRUE,"D"))</f>
        <v/>
      </c>
    </row>
    <row r="35">
      <c r="A35" s="33">
        <f>IF(A13="","",A13)</f>
        <v/>
      </c>
      <c r="B35" s="19">
        <f>B13</f>
        <v/>
      </c>
      <c r="C35" s="55" t="n">
        <v>6</v>
      </c>
      <c r="D35" s="55" t="n">
        <v>10</v>
      </c>
      <c r="E35" s="32">
        <f>IF(OR(A35="",D35="",D35=0),"",MIN(C35/D35*4,4))</f>
        <v/>
      </c>
      <c r="F35" s="55" t="n">
        <v>3</v>
      </c>
      <c r="G35" s="55" t="n">
        <v>5</v>
      </c>
      <c r="H35" s="32">
        <f>IF(OR(A35="",G35="",G35=0),"",MIN(F35/G35*4,4))</f>
        <v/>
      </c>
      <c r="I35" s="55" t="n">
        <v>3</v>
      </c>
      <c r="J35" s="55" t="n">
        <v>6</v>
      </c>
      <c r="K35" s="32">
        <f>IF(OR(A35="",J35="",J35=0),"",MIN(I35/J35*4,4))</f>
        <v/>
      </c>
      <c r="L35" s="55" t="n">
        <v>2</v>
      </c>
      <c r="M35" s="55" t="n">
        <v>3</v>
      </c>
      <c r="N35" s="32">
        <f>IF(OR(A35="",M35="",M35=0),"",MIN(L35/M35*4,4))</f>
        <v/>
      </c>
      <c r="O35" s="55" t="n">
        <v>2</v>
      </c>
      <c r="P35" s="55" t="n">
        <v>4</v>
      </c>
      <c r="Q35" s="32">
        <f>IF(OR(A35="",P35="",P35=0),"",MIN(O35/P35*4,4))</f>
        <v/>
      </c>
      <c r="R35" s="32">
        <f>IF(A35="","",SUM(E35,H35,K35,N35,Q35))</f>
        <v/>
      </c>
      <c r="S35" s="19">
        <f>IF(R35="","",_xlfn.IFS(R35&gt;=18,"S",R35&gt;=16,"A",R35&gt;=14,"B",R35&gt;=11,"C",TRUE,"D"))</f>
        <v/>
      </c>
    </row>
    <row r="36">
      <c r="A36" s="33">
        <f>IF(A14="","",A14)</f>
        <v/>
      </c>
      <c r="B36" s="19">
        <f>B14</f>
        <v/>
      </c>
      <c r="C36" s="55" t="n">
        <v>5</v>
      </c>
      <c r="D36" s="55" t="n">
        <v>10</v>
      </c>
      <c r="E36" s="32">
        <f>IF(OR(A36="",D36="",D36=0),"",MIN(C36/D36*4,4))</f>
        <v/>
      </c>
      <c r="F36" s="55" t="n">
        <v>3</v>
      </c>
      <c r="G36" s="55" t="n">
        <v>5</v>
      </c>
      <c r="H36" s="32">
        <f>IF(OR(A36="",G36="",G36=0),"",MIN(F36/G36*4,4))</f>
        <v/>
      </c>
      <c r="I36" s="55" t="n">
        <v>3</v>
      </c>
      <c r="J36" s="55" t="n">
        <v>6</v>
      </c>
      <c r="K36" s="32">
        <f>IF(OR(A36="",J36="",J36=0),"",MIN(I36/J36*4,4))</f>
        <v/>
      </c>
      <c r="L36" s="55" t="n">
        <v>2</v>
      </c>
      <c r="M36" s="55" t="n">
        <v>3</v>
      </c>
      <c r="N36" s="32">
        <f>IF(OR(A36="",M36="",M36=0),"",MIN(L36/M36*4,4))</f>
        <v/>
      </c>
      <c r="O36" s="55" t="n">
        <v>2</v>
      </c>
      <c r="P36" s="55" t="n">
        <v>4</v>
      </c>
      <c r="Q36" s="32">
        <f>IF(OR(A36="",P36="",P36=0),"",MIN(O36/P36*4,4))</f>
        <v/>
      </c>
      <c r="R36" s="32">
        <f>IF(A36="","",SUM(E36,H36,K36,N36,Q36))</f>
        <v/>
      </c>
      <c r="S36" s="19">
        <f>IF(R36="","",_xlfn.IFS(R36&gt;=18,"S",R36&gt;=16,"A",R36&gt;=14,"B",R36&gt;=11,"C",TRUE,"D"))</f>
        <v/>
      </c>
    </row>
    <row r="37">
      <c r="A37" s="33">
        <f>IF(A15="","",A15)</f>
        <v/>
      </c>
      <c r="B37" s="19">
        <f>B15</f>
        <v/>
      </c>
      <c r="C37" s="55" t="n">
        <v>4</v>
      </c>
      <c r="D37" s="55" t="n">
        <v>10</v>
      </c>
      <c r="E37" s="32">
        <f>IF(OR(A37="",D37="",D37=0),"",MIN(C37/D37*4,4))</f>
        <v/>
      </c>
      <c r="F37" s="55" t="n">
        <v>2</v>
      </c>
      <c r="G37" s="55" t="n">
        <v>5</v>
      </c>
      <c r="H37" s="32">
        <f>IF(OR(A37="",G37="",G37=0),"",MIN(F37/G37*4,4))</f>
        <v/>
      </c>
      <c r="I37" s="55" t="n">
        <v>3</v>
      </c>
      <c r="J37" s="55" t="n">
        <v>6</v>
      </c>
      <c r="K37" s="32">
        <f>IF(OR(A37="",J37="",J37=0),"",MIN(I37/J37*4,4))</f>
        <v/>
      </c>
      <c r="L37" s="55" t="n">
        <v>1</v>
      </c>
      <c r="M37" s="55" t="n">
        <v>3</v>
      </c>
      <c r="N37" s="32">
        <f>IF(OR(A37="",M37="",M37=0),"",MIN(L37/M37*4,4))</f>
        <v/>
      </c>
      <c r="O37" s="55" t="n">
        <v>2</v>
      </c>
      <c r="P37" s="55" t="n">
        <v>4</v>
      </c>
      <c r="Q37" s="32">
        <f>IF(OR(A37="",P37="",P37=0),"",MIN(O37/P37*4,4))</f>
        <v/>
      </c>
      <c r="R37" s="32">
        <f>IF(A37="","",SUM(E37,H37,K37,N37,Q37))</f>
        <v/>
      </c>
      <c r="S37" s="19">
        <f>IF(R37="","",_xlfn.IFS(R37&gt;=18,"S",R37&gt;=16,"A",R37&gt;=14,"B",R37&gt;=11,"C",TRUE,"D"))</f>
        <v/>
      </c>
    </row>
    <row r="38">
      <c r="A38" s="33">
        <f>IF(A16="","",A16)</f>
        <v/>
      </c>
      <c r="B38" s="19">
        <f>B16</f>
        <v/>
      </c>
      <c r="C38" s="55" t="n">
        <v>3</v>
      </c>
      <c r="D38" s="55" t="n">
        <v>10</v>
      </c>
      <c r="E38" s="32">
        <f>IF(OR(A38="",D38="",D38=0),"",MIN(C38/D38*4,4))</f>
        <v/>
      </c>
      <c r="F38" s="55" t="n">
        <v>2</v>
      </c>
      <c r="G38" s="55" t="n">
        <v>5</v>
      </c>
      <c r="H38" s="32">
        <f>IF(OR(A38="",G38="",G38=0),"",MIN(F38/G38*4,4))</f>
        <v/>
      </c>
      <c r="I38" s="55" t="n">
        <v>2</v>
      </c>
      <c r="J38" s="55" t="n">
        <v>6</v>
      </c>
      <c r="K38" s="32">
        <f>IF(OR(A38="",J38="",J38=0),"",MIN(I38/J38*4,4))</f>
        <v/>
      </c>
      <c r="L38" s="55" t="n">
        <v>1</v>
      </c>
      <c r="M38" s="55" t="n">
        <v>3</v>
      </c>
      <c r="N38" s="32">
        <f>IF(OR(A38="",M38="",M38=0),"",MIN(L38/M38*4,4))</f>
        <v/>
      </c>
      <c r="O38" s="55" t="n">
        <v>1</v>
      </c>
      <c r="P38" s="55" t="n">
        <v>4</v>
      </c>
      <c r="Q38" s="32">
        <f>IF(OR(A38="",P38="",P38=0),"",MIN(O38/P38*4,4))</f>
        <v/>
      </c>
      <c r="R38" s="32">
        <f>IF(A38="","",SUM(E38,H38,K38,N38,Q38))</f>
        <v/>
      </c>
      <c r="S38" s="19">
        <f>IF(R38="","",_xlfn.IFS(R38&gt;=18,"S",R38&gt;=16,"A",R38&gt;=14,"B",R38&gt;=11,"C",TRUE,"D"))</f>
        <v/>
      </c>
    </row>
    <row r="39">
      <c r="A39" s="33">
        <f>IF(A17="","",A17)</f>
        <v/>
      </c>
      <c r="B39" s="19">
        <f>B17</f>
        <v/>
      </c>
      <c r="C39" s="55" t="n"/>
      <c r="D39" s="55" t="n"/>
      <c r="E39" s="32">
        <f>IF(OR(A39="",D39="",D39=0),"",MIN(C39/D39*4,4))</f>
        <v/>
      </c>
      <c r="F39" s="55" t="n"/>
      <c r="G39" s="55" t="n"/>
      <c r="H39" s="32">
        <f>IF(OR(A39="",G39="",G39=0),"",MIN(F39/G39*4,4))</f>
        <v/>
      </c>
      <c r="I39" s="55" t="n"/>
      <c r="J39" s="55" t="n"/>
      <c r="K39" s="32">
        <f>IF(OR(A39="",J39="",J39=0),"",MIN(I39/J39*4,4))</f>
        <v/>
      </c>
      <c r="L39" s="55" t="n"/>
      <c r="M39" s="55" t="n"/>
      <c r="N39" s="32">
        <f>IF(OR(A39="",M39="",M39=0),"",MIN(L39/M39*4,4))</f>
        <v/>
      </c>
      <c r="O39" s="55" t="n"/>
      <c r="P39" s="55" t="n"/>
      <c r="Q39" s="32">
        <f>IF(OR(A39="",P39="",P39=0),"",MIN(O39/P39*4,4))</f>
        <v/>
      </c>
      <c r="R39" s="32">
        <f>IF(A39="","",SUM(E39,H39,K39,N39,Q39))</f>
        <v/>
      </c>
      <c r="S39" s="19">
        <f>IF(R39="","",_xlfn.IFS(R39&gt;=18,"S",R39&gt;=16,"A",R39&gt;=14,"B",R39&gt;=11,"C",TRUE,"D"))</f>
        <v/>
      </c>
    </row>
    <row r="40">
      <c r="A40" s="33">
        <f>IF(A18="","",A18)</f>
        <v/>
      </c>
      <c r="B40" s="19">
        <f>B18</f>
        <v/>
      </c>
      <c r="C40" s="55" t="n"/>
      <c r="D40" s="55" t="n"/>
      <c r="E40" s="32">
        <f>IF(OR(A40="",D40="",D40=0),"",MIN(C40/D40*4,4))</f>
        <v/>
      </c>
      <c r="F40" s="55" t="n"/>
      <c r="G40" s="55" t="n"/>
      <c r="H40" s="32">
        <f>IF(OR(A40="",G40="",G40=0),"",MIN(F40/G40*4,4))</f>
        <v/>
      </c>
      <c r="I40" s="55" t="n"/>
      <c r="J40" s="55" t="n"/>
      <c r="K40" s="32">
        <f>IF(OR(A40="",J40="",J40=0),"",MIN(I40/J40*4,4))</f>
        <v/>
      </c>
      <c r="L40" s="55" t="n"/>
      <c r="M40" s="55" t="n"/>
      <c r="N40" s="32">
        <f>IF(OR(A40="",M40="",M40=0),"",MIN(L40/M40*4,4))</f>
        <v/>
      </c>
      <c r="O40" s="55" t="n"/>
      <c r="P40" s="55" t="n"/>
      <c r="Q40" s="32">
        <f>IF(OR(A40="",P40="",P40=0),"",MIN(O40/P40*4,4))</f>
        <v/>
      </c>
      <c r="R40" s="32">
        <f>IF(A40="","",SUM(E40,H40,K40,N40,Q40))</f>
        <v/>
      </c>
      <c r="S40" s="19">
        <f>IF(R40="","",_xlfn.IFS(R40&gt;=18,"S",R40&gt;=16,"A",R40&gt;=14,"B",R40&gt;=11,"C",TRUE,"D"))</f>
        <v/>
      </c>
    </row>
    <row r="41">
      <c r="A41" s="33">
        <f>IF(A19="","",A19)</f>
        <v/>
      </c>
      <c r="B41" s="19">
        <f>B19</f>
        <v/>
      </c>
      <c r="C41" s="55" t="n"/>
      <c r="D41" s="55" t="n"/>
      <c r="E41" s="32">
        <f>IF(OR(A41="",D41="",D41=0),"",MIN(C41/D41*4,4))</f>
        <v/>
      </c>
      <c r="F41" s="55" t="n"/>
      <c r="G41" s="55" t="n"/>
      <c r="H41" s="32">
        <f>IF(OR(A41="",G41="",G41=0),"",MIN(F41/G41*4,4))</f>
        <v/>
      </c>
      <c r="I41" s="55" t="n"/>
      <c r="J41" s="55" t="n"/>
      <c r="K41" s="32">
        <f>IF(OR(A41="",J41="",J41=0),"",MIN(I41/J41*4,4))</f>
        <v/>
      </c>
      <c r="L41" s="55" t="n"/>
      <c r="M41" s="55" t="n"/>
      <c r="N41" s="32">
        <f>IF(OR(A41="",M41="",M41=0),"",MIN(L41/M41*4,4))</f>
        <v/>
      </c>
      <c r="O41" s="55" t="n"/>
      <c r="P41" s="55" t="n"/>
      <c r="Q41" s="32">
        <f>IF(OR(A41="",P41="",P41=0),"",MIN(O41/P41*4,4))</f>
        <v/>
      </c>
      <c r="R41" s="32">
        <f>IF(A41="","",SUM(E41,H41,K41,N41,Q41))</f>
        <v/>
      </c>
      <c r="S41" s="19">
        <f>IF(R41="","",_xlfn.IFS(R41&gt;=18,"S",R41&gt;=16,"A",R41&gt;=14,"B",R41&gt;=11,"C",TRUE,"D"))</f>
        <v/>
      </c>
    </row>
    <row r="42">
      <c r="A42" s="33">
        <f>IF(A20="","",A20)</f>
        <v/>
      </c>
      <c r="B42" s="19">
        <f>B20</f>
        <v/>
      </c>
      <c r="C42" s="55" t="n"/>
      <c r="D42" s="55" t="n"/>
      <c r="E42" s="32">
        <f>IF(OR(A42="",D42="",D42=0),"",MIN(C42/D42*4,4))</f>
        <v/>
      </c>
      <c r="F42" s="55" t="n"/>
      <c r="G42" s="55" t="n"/>
      <c r="H42" s="32">
        <f>IF(OR(A42="",G42="",G42=0),"",MIN(F42/G42*4,4))</f>
        <v/>
      </c>
      <c r="I42" s="55" t="n"/>
      <c r="J42" s="55" t="n"/>
      <c r="K42" s="32">
        <f>IF(OR(A42="",J42="",J42=0),"",MIN(I42/J42*4,4))</f>
        <v/>
      </c>
      <c r="L42" s="55" t="n"/>
      <c r="M42" s="55" t="n"/>
      <c r="N42" s="32">
        <f>IF(OR(A42="",M42="",M42=0),"",MIN(L42/M42*4,4))</f>
        <v/>
      </c>
      <c r="O42" s="55" t="n"/>
      <c r="P42" s="55" t="n"/>
      <c r="Q42" s="32">
        <f>IF(OR(A42="",P42="",P42=0),"",MIN(O42/P42*4,4))</f>
        <v/>
      </c>
      <c r="R42" s="32">
        <f>IF(A42="","",SUM(E42,H42,K42,N42,Q42))</f>
        <v/>
      </c>
      <c r="S42" s="19">
        <f>IF(R42="","",_xlfn.IFS(R42&gt;=18,"S",R42&gt;=16,"A",R42&gt;=14,"B",R42&gt;=11,"C",TRUE,"D"))</f>
        <v/>
      </c>
    </row>
    <row r="43">
      <c r="A43" s="33">
        <f>IF(A21="","",A21)</f>
        <v/>
      </c>
      <c r="B43" s="19">
        <f>B21</f>
        <v/>
      </c>
      <c r="C43" s="55" t="n"/>
      <c r="D43" s="55" t="n"/>
      <c r="E43" s="32">
        <f>IF(OR(A43="",D43="",D43=0),"",MIN(C43/D43*4,4))</f>
        <v/>
      </c>
      <c r="F43" s="55" t="n"/>
      <c r="G43" s="55" t="n"/>
      <c r="H43" s="32">
        <f>IF(OR(A43="",G43="",G43=0),"",MIN(F43/G43*4,4))</f>
        <v/>
      </c>
      <c r="I43" s="55" t="n"/>
      <c r="J43" s="55" t="n"/>
      <c r="K43" s="32">
        <f>IF(OR(A43="",J43="",J43=0),"",MIN(I43/J43*4,4))</f>
        <v/>
      </c>
      <c r="L43" s="55" t="n"/>
      <c r="M43" s="55" t="n"/>
      <c r="N43" s="32">
        <f>IF(OR(A43="",M43="",M43=0),"",MIN(L43/M43*4,4))</f>
        <v/>
      </c>
      <c r="O43" s="55" t="n"/>
      <c r="P43" s="55" t="n"/>
      <c r="Q43" s="32">
        <f>IF(OR(A43="",P43="",P43=0),"",MIN(O43/P43*4,4))</f>
        <v/>
      </c>
      <c r="R43" s="32">
        <f>IF(A43="","",SUM(E43,H43,K43,N43,Q43))</f>
        <v/>
      </c>
      <c r="S43" s="19">
        <f>IF(R43="","",_xlfn.IFS(R43&gt;=18,"S",R43&gt;=16,"A",R43&gt;=14,"B",R43&gt;=11,"C",TRUE,"D"))</f>
        <v/>
      </c>
    </row>
    <row r="44">
      <c r="A44" s="10" t="inlineStr">
        <is>
          <t>팀 평균 / 합계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34">
        <f>AVERAGE(R29:R43)</f>
        <v/>
      </c>
      <c r="S44" s="10" t="inlineStr">
        <is>
          <t>-</t>
        </is>
      </c>
    </row>
    <row r="46">
      <c r="A46" s="8" t="inlineStr">
        <is>
          <t>③ 역량평가 · 정성 (과정지표Ⅱ, 30점)</t>
        </is>
      </c>
      <c r="J46" s="2" t="inlineStr">
        <is>
          <t>④ 종합</t>
        </is>
      </c>
    </row>
    <row r="47" ht="30" customHeight="1">
      <c r="A47" s="2" t="inlineStr">
        <is>
          <t>이름
(①표 자동)</t>
        </is>
      </c>
      <c r="B47" s="2" t="inlineStr">
        <is>
          <t>직책
(①표 자동)</t>
        </is>
      </c>
      <c r="C47" s="8" t="inlineStr">
        <is>
          <t>업무태도</t>
        </is>
      </c>
      <c r="D47" s="8" t="inlineStr">
        <is>
          <t>전문소통</t>
        </is>
      </c>
      <c r="E47" s="8" t="inlineStr">
        <is>
          <t>조직화합</t>
        </is>
      </c>
      <c r="F47" s="8" t="inlineStr">
        <is>
          <t>업무지시이행</t>
        </is>
      </c>
      <c r="G47" s="8" t="inlineStr">
        <is>
          <t>조직기여</t>
        </is>
      </c>
      <c r="H47" s="8" t="inlineStr">
        <is>
          <t>소계
(30)</t>
        </is>
      </c>
      <c r="I47" s="8" t="inlineStr">
        <is>
          <t>등급</t>
        </is>
      </c>
      <c r="J47" s="2" t="inlineStr">
        <is>
          <t>①결과지표
점수(참조)</t>
        </is>
      </c>
      <c r="K47" s="2" t="inlineStr">
        <is>
          <t>②개별성과
소계(참조)</t>
        </is>
      </c>
      <c r="L47" s="2" t="inlineStr">
        <is>
          <t>종합점수
(100)</t>
        </is>
      </c>
      <c r="M47" s="2" t="inlineStr">
        <is>
          <t>종합등급</t>
        </is>
      </c>
      <c r="N47" s="2" t="inlineStr">
        <is>
          <t>보상구분</t>
        </is>
      </c>
      <c r="O47" s="2" t="inlineStr">
        <is>
          <t>비고</t>
        </is>
      </c>
    </row>
    <row r="48" ht="42" customHeight="1">
      <c r="C48" s="21" t="inlineStr">
        <is>
          <t>성실성·근태·마감 준수 등 기본 업무 자세 (0~6점)</t>
        </is>
      </c>
      <c r="D48" s="21" t="inlineStr">
        <is>
          <t>고객·동료와의 커뮤니케이션 품질과 신속성 (0~6점)</t>
        </is>
      </c>
      <c r="E48" s="21" t="inlineStr">
        <is>
          <t>팀 내 협업 및 갈등 조율 기여도 (0~6점)</t>
        </is>
      </c>
      <c r="F48" s="21" t="inlineStr">
        <is>
          <t>지시받은 업무의 완결성과 정확도 (0~6점)</t>
        </is>
      </c>
      <c r="G48" s="21" t="inlineStr">
        <is>
          <t>팀/전사 차원의 부가적 기여 - 멘토링·지식공유 등 (0~6점)</t>
        </is>
      </c>
    </row>
    <row r="49" ht="22" customHeight="1">
      <c r="C49" s="63" t="inlineStr">
        <is>
          <t>점수
(6)</t>
        </is>
      </c>
      <c r="D49" s="63" t="inlineStr">
        <is>
          <t>점수
(6)</t>
        </is>
      </c>
      <c r="E49" s="63" t="inlineStr">
        <is>
          <t>점수
(6)</t>
        </is>
      </c>
      <c r="F49" s="63" t="inlineStr">
        <is>
          <t>점수
(6)</t>
        </is>
      </c>
      <c r="G49" s="63" t="inlineStr">
        <is>
          <t>점수
(6)</t>
        </is>
      </c>
    </row>
    <row r="50" ht="34" customHeight="1">
      <c r="A50" s="33">
        <f>IF(A6="","",A6)</f>
        <v/>
      </c>
      <c r="B50" s="19">
        <f>B6</f>
        <v/>
      </c>
      <c r="C50" s="61" t="inlineStr">
        <is>
          <t>리더의 역량평가는 상급자(경영진)가 별도로 평가합니다 — 본 시트에는 미기재</t>
        </is>
      </c>
      <c r="J50" s="32">
        <f>F6</f>
        <v/>
      </c>
      <c r="K50" s="20" t="inlineStr">
        <is>
          <t>해당없음</t>
        </is>
      </c>
      <c r="L50" s="61" t="inlineStr">
        <is>
          <t>리더 종합평가 = 결과지표(50) + 상급자 역량평가(30, 별도 산정) — 본 시트 자동계산 대상 아님</t>
        </is>
      </c>
      <c r="O50" s="64" t="n"/>
    </row>
    <row r="51">
      <c r="A51" s="33">
        <f>IF(A7="","",A7)</f>
        <v/>
      </c>
      <c r="B51" s="19">
        <f>B7</f>
        <v/>
      </c>
      <c r="C51" s="55" t="n">
        <v>6</v>
      </c>
      <c r="D51" s="55" t="n">
        <v>6</v>
      </c>
      <c r="E51" s="55" t="n">
        <v>6</v>
      </c>
      <c r="F51" s="55" t="n">
        <v>6</v>
      </c>
      <c r="G51" s="55" t="n">
        <v>6</v>
      </c>
      <c r="H51" s="32">
        <f>IF(A51="","",SUM(C51,D51,E51,F51,G51))</f>
        <v/>
      </c>
      <c r="I51" s="19">
        <f>IF(H51="","",_xlfn.IFS(H51&gt;=27,"S",H51&gt;=24,"A",H51&gt;=21,"B",H51&gt;=18,"C",TRUE,"D"))</f>
        <v/>
      </c>
      <c r="J51" s="32">
        <f>IF(A51="","",F7)</f>
        <v/>
      </c>
      <c r="K51" s="32">
        <f>IF(A51="","",R29)</f>
        <v/>
      </c>
      <c r="L51" s="32">
        <f>IF(A51="","",J51+K51+H51)</f>
        <v/>
      </c>
      <c r="M51" s="19">
        <f>IF(L51="","",_xlfn.IFS(L51&gt;=90,"S",L51&gt;=82,"A",L51&gt;=70,"B",L51&gt;=60,"C",TRUE,"D"))</f>
        <v/>
      </c>
      <c r="N51" s="33">
        <f>IF(M51="","",_xlfn.IFS(M51="S","특별성과급 (연봉의 15%) + 연봉 인상 10%",M51="A","성과급 (연봉의 10%) + 연봉 인상 7%",M51="B","연봉 인상 3% (물가인상률 보전)",M51="C","동결 (PIP 대상)",TRUE,"동결 (경고 및 보직조정)"))</f>
        <v/>
      </c>
      <c r="O51" s="51" t="n"/>
    </row>
    <row r="52">
      <c r="A52" s="33">
        <f>IF(A8="","",A8)</f>
        <v/>
      </c>
      <c r="B52" s="19">
        <f>B8</f>
        <v/>
      </c>
      <c r="C52" s="55" t="n">
        <v>6</v>
      </c>
      <c r="D52" s="55" t="n">
        <v>6</v>
      </c>
      <c r="E52" s="55" t="n">
        <v>6</v>
      </c>
      <c r="F52" s="55" t="n">
        <v>6</v>
      </c>
      <c r="G52" s="55" t="n">
        <v>6</v>
      </c>
      <c r="H52" s="32">
        <f>IF(A52="","",SUM(C52,D52,E52,F52,G52))</f>
        <v/>
      </c>
      <c r="I52" s="19">
        <f>IF(H52="","",_xlfn.IFS(H52&gt;=27,"S",H52&gt;=24,"A",H52&gt;=21,"B",H52&gt;=18,"C",TRUE,"D"))</f>
        <v/>
      </c>
      <c r="J52" s="32">
        <f>IF(A52="","",F8)</f>
        <v/>
      </c>
      <c r="K52" s="32">
        <f>IF(A52="","",R30)</f>
        <v/>
      </c>
      <c r="L52" s="32">
        <f>IF(A52="","",J52+K52+H52)</f>
        <v/>
      </c>
      <c r="M52" s="19">
        <f>IF(L52="","",_xlfn.IFS(L52&gt;=90,"S",L52&gt;=82,"A",L52&gt;=70,"B",L52&gt;=60,"C",TRUE,"D"))</f>
        <v/>
      </c>
      <c r="N52" s="33">
        <f>IF(M52="","",_xlfn.IFS(M52="S","특별성과급 (연봉의 15%) + 연봉 인상 10%",M52="A","성과급 (연봉의 10%) + 연봉 인상 7%",M52="B","연봉 인상 3% (물가인상률 보전)",M52="C","동결 (PIP 대상)",TRUE,"동결 (경고 및 보직조정)"))</f>
        <v/>
      </c>
      <c r="O52" s="51" t="n"/>
    </row>
    <row r="53">
      <c r="A53" s="33">
        <f>IF(A9="","",A9)</f>
        <v/>
      </c>
      <c r="B53" s="19">
        <f>B9</f>
        <v/>
      </c>
      <c r="C53" s="55" t="n">
        <v>5</v>
      </c>
      <c r="D53" s="55" t="n">
        <v>5</v>
      </c>
      <c r="E53" s="55" t="n">
        <v>5</v>
      </c>
      <c r="F53" s="55" t="n">
        <v>5</v>
      </c>
      <c r="G53" s="55" t="n">
        <v>5</v>
      </c>
      <c r="H53" s="32">
        <f>IF(A53="","",SUM(C53,D53,E53,F53,G53))</f>
        <v/>
      </c>
      <c r="I53" s="19">
        <f>IF(H53="","",_xlfn.IFS(H53&gt;=27,"S",H53&gt;=24,"A",H53&gt;=21,"B",H53&gt;=18,"C",TRUE,"D"))</f>
        <v/>
      </c>
      <c r="J53" s="32">
        <f>IF(A53="","",F9)</f>
        <v/>
      </c>
      <c r="K53" s="32">
        <f>IF(A53="","",R31)</f>
        <v/>
      </c>
      <c r="L53" s="32">
        <f>IF(A53="","",J53+K53+H53)</f>
        <v/>
      </c>
      <c r="M53" s="19">
        <f>IF(L53="","",_xlfn.IFS(L53&gt;=90,"S",L53&gt;=82,"A",L53&gt;=70,"B",L53&gt;=60,"C",TRUE,"D"))</f>
        <v/>
      </c>
      <c r="N53" s="33">
        <f>IF(M53="","",_xlfn.IFS(M53="S","특별성과급 (연봉의 15%) + 연봉 인상 10%",M53="A","성과급 (연봉의 10%) + 연봉 인상 7%",M53="B","연봉 인상 3% (물가인상률 보전)",M53="C","동결 (PIP 대상)",TRUE,"동결 (경고 및 보직조정)"))</f>
        <v/>
      </c>
      <c r="O53" s="51" t="n"/>
    </row>
    <row r="54">
      <c r="A54" s="33">
        <f>IF(A10="","",A10)</f>
        <v/>
      </c>
      <c r="B54" s="19">
        <f>B10</f>
        <v/>
      </c>
      <c r="C54" s="55" t="n">
        <v>5</v>
      </c>
      <c r="D54" s="55" t="n">
        <v>5</v>
      </c>
      <c r="E54" s="55" t="n">
        <v>5</v>
      </c>
      <c r="F54" s="55" t="n">
        <v>5</v>
      </c>
      <c r="G54" s="55" t="n">
        <v>5</v>
      </c>
      <c r="H54" s="32">
        <f>IF(A54="","",SUM(C54,D54,E54,F54,G54))</f>
        <v/>
      </c>
      <c r="I54" s="19">
        <f>IF(H54="","",_xlfn.IFS(H54&gt;=27,"S",H54&gt;=24,"A",H54&gt;=21,"B",H54&gt;=18,"C",TRUE,"D"))</f>
        <v/>
      </c>
      <c r="J54" s="32">
        <f>IF(A54="","",F10)</f>
        <v/>
      </c>
      <c r="K54" s="32">
        <f>IF(A54="","",R32)</f>
        <v/>
      </c>
      <c r="L54" s="32">
        <f>IF(A54="","",J54+K54+H54)</f>
        <v/>
      </c>
      <c r="M54" s="19">
        <f>IF(L54="","",_xlfn.IFS(L54&gt;=90,"S",L54&gt;=82,"A",L54&gt;=70,"B",L54&gt;=60,"C",TRUE,"D"))</f>
        <v/>
      </c>
      <c r="N54" s="33">
        <f>IF(M54="","",_xlfn.IFS(M54="S","특별성과급 (연봉의 15%) + 연봉 인상 10%",M54="A","성과급 (연봉의 10%) + 연봉 인상 7%",M54="B","연봉 인상 3% (물가인상률 보전)",M54="C","동결 (PIP 대상)",TRUE,"동결 (경고 및 보직조정)"))</f>
        <v/>
      </c>
      <c r="O54" s="51" t="n"/>
    </row>
    <row r="55">
      <c r="A55" s="33">
        <f>IF(A11="","",A11)</f>
        <v/>
      </c>
      <c r="B55" s="19">
        <f>B11</f>
        <v/>
      </c>
      <c r="C55" s="55" t="n">
        <v>4</v>
      </c>
      <c r="D55" s="55" t="n">
        <v>4</v>
      </c>
      <c r="E55" s="55" t="n">
        <v>4</v>
      </c>
      <c r="F55" s="55" t="n">
        <v>4</v>
      </c>
      <c r="G55" s="55" t="n">
        <v>4</v>
      </c>
      <c r="H55" s="32">
        <f>IF(A55="","",SUM(C55,D55,E55,F55,G55))</f>
        <v/>
      </c>
      <c r="I55" s="19">
        <f>IF(H55="","",_xlfn.IFS(H55&gt;=27,"S",H55&gt;=24,"A",H55&gt;=21,"B",H55&gt;=18,"C",TRUE,"D"))</f>
        <v/>
      </c>
      <c r="J55" s="32">
        <f>IF(A55="","",F11)</f>
        <v/>
      </c>
      <c r="K55" s="32">
        <f>IF(A55="","",R33)</f>
        <v/>
      </c>
      <c r="L55" s="32">
        <f>IF(A55="","",J55+K55+H55)</f>
        <v/>
      </c>
      <c r="M55" s="19">
        <f>IF(L55="","",_xlfn.IFS(L55&gt;=90,"S",L55&gt;=82,"A",L55&gt;=70,"B",L55&gt;=60,"C",TRUE,"D"))</f>
        <v/>
      </c>
      <c r="N55" s="33">
        <f>IF(M55="","",_xlfn.IFS(M55="S","특별성과급 (연봉의 15%) + 연봉 인상 10%",M55="A","성과급 (연봉의 10%) + 연봉 인상 7%",M55="B","연봉 인상 3% (물가인상률 보전)",M55="C","동결 (PIP 대상)",TRUE,"동결 (경고 및 보직조정)"))</f>
        <v/>
      </c>
      <c r="O55" s="51" t="n"/>
    </row>
    <row r="56">
      <c r="A56" s="33">
        <f>IF(A12="","",A12)</f>
        <v/>
      </c>
      <c r="B56" s="19">
        <f>B12</f>
        <v/>
      </c>
      <c r="C56" s="55" t="n">
        <v>4</v>
      </c>
      <c r="D56" s="55" t="n">
        <v>4</v>
      </c>
      <c r="E56" s="55" t="n">
        <v>4</v>
      </c>
      <c r="F56" s="55" t="n">
        <v>4</v>
      </c>
      <c r="G56" s="55" t="n">
        <v>4</v>
      </c>
      <c r="H56" s="32">
        <f>IF(A56="","",SUM(C56,D56,E56,F56,G56))</f>
        <v/>
      </c>
      <c r="I56" s="19">
        <f>IF(H56="","",_xlfn.IFS(H56&gt;=27,"S",H56&gt;=24,"A",H56&gt;=21,"B",H56&gt;=18,"C",TRUE,"D"))</f>
        <v/>
      </c>
      <c r="J56" s="32">
        <f>IF(A56="","",F12)</f>
        <v/>
      </c>
      <c r="K56" s="32">
        <f>IF(A56="","",R34)</f>
        <v/>
      </c>
      <c r="L56" s="32">
        <f>IF(A56="","",J56+K56+H56)</f>
        <v/>
      </c>
      <c r="M56" s="19">
        <f>IF(L56="","",_xlfn.IFS(L56&gt;=90,"S",L56&gt;=82,"A",L56&gt;=70,"B",L56&gt;=60,"C",TRUE,"D"))</f>
        <v/>
      </c>
      <c r="N56" s="33">
        <f>IF(M56="","",_xlfn.IFS(M56="S","특별성과급 (연봉의 15%) + 연봉 인상 10%",M56="A","성과급 (연봉의 10%) + 연봉 인상 7%",M56="B","연봉 인상 3% (물가인상률 보전)",M56="C","동결 (PIP 대상)",TRUE,"동결 (경고 및 보직조정)"))</f>
        <v/>
      </c>
      <c r="O56" s="51" t="n"/>
    </row>
    <row r="57">
      <c r="A57" s="33">
        <f>IF(A13="","",A13)</f>
        <v/>
      </c>
      <c r="B57" s="19">
        <f>B13</f>
        <v/>
      </c>
      <c r="C57" s="55" t="n">
        <v>3</v>
      </c>
      <c r="D57" s="55" t="n">
        <v>3</v>
      </c>
      <c r="E57" s="55" t="n">
        <v>3</v>
      </c>
      <c r="F57" s="55" t="n">
        <v>3</v>
      </c>
      <c r="G57" s="55" t="n">
        <v>3</v>
      </c>
      <c r="H57" s="32">
        <f>IF(A57="","",SUM(C57,D57,E57,F57,G57))</f>
        <v/>
      </c>
      <c r="I57" s="19">
        <f>IF(H57="","",_xlfn.IFS(H57&gt;=27,"S",H57&gt;=24,"A",H57&gt;=21,"B",H57&gt;=18,"C",TRUE,"D"))</f>
        <v/>
      </c>
      <c r="J57" s="32">
        <f>IF(A57="","",F13)</f>
        <v/>
      </c>
      <c r="K57" s="32">
        <f>IF(A57="","",R35)</f>
        <v/>
      </c>
      <c r="L57" s="32">
        <f>IF(A57="","",J57+K57+H57)</f>
        <v/>
      </c>
      <c r="M57" s="19">
        <f>IF(L57="","",_xlfn.IFS(L57&gt;=90,"S",L57&gt;=82,"A",L57&gt;=70,"B",L57&gt;=60,"C",TRUE,"D"))</f>
        <v/>
      </c>
      <c r="N57" s="33">
        <f>IF(M57="","",_xlfn.IFS(M57="S","특별성과급 (연봉의 15%) + 연봉 인상 10%",M57="A","성과급 (연봉의 10%) + 연봉 인상 7%",M57="B","연봉 인상 3% (물가인상률 보전)",M57="C","동결 (PIP 대상)",TRUE,"동결 (경고 및 보직조정)"))</f>
        <v/>
      </c>
      <c r="O57" s="51" t="n"/>
    </row>
    <row r="58">
      <c r="A58" s="33">
        <f>IF(A14="","",A14)</f>
        <v/>
      </c>
      <c r="B58" s="19">
        <f>B14</f>
        <v/>
      </c>
      <c r="C58" s="55" t="n">
        <v>3</v>
      </c>
      <c r="D58" s="55" t="n">
        <v>3</v>
      </c>
      <c r="E58" s="55" t="n">
        <v>3</v>
      </c>
      <c r="F58" s="55" t="n">
        <v>3</v>
      </c>
      <c r="G58" s="55" t="n">
        <v>3</v>
      </c>
      <c r="H58" s="32">
        <f>IF(A58="","",SUM(C58,D58,E58,F58,G58))</f>
        <v/>
      </c>
      <c r="I58" s="19">
        <f>IF(H58="","",_xlfn.IFS(H58&gt;=27,"S",H58&gt;=24,"A",H58&gt;=21,"B",H58&gt;=18,"C",TRUE,"D"))</f>
        <v/>
      </c>
      <c r="J58" s="32">
        <f>IF(A58="","",F14)</f>
        <v/>
      </c>
      <c r="K58" s="32">
        <f>IF(A58="","",R36)</f>
        <v/>
      </c>
      <c r="L58" s="32">
        <f>IF(A58="","",J58+K58+H58)</f>
        <v/>
      </c>
      <c r="M58" s="19">
        <f>IF(L58="","",_xlfn.IFS(L58&gt;=90,"S",L58&gt;=82,"A",L58&gt;=70,"B",L58&gt;=60,"C",TRUE,"D"))</f>
        <v/>
      </c>
      <c r="N58" s="33">
        <f>IF(M58="","",_xlfn.IFS(M58="S","특별성과급 (연봉의 15%) + 연봉 인상 10%",M58="A","성과급 (연봉의 10%) + 연봉 인상 7%",M58="B","연봉 인상 3% (물가인상률 보전)",M58="C","동결 (PIP 대상)",TRUE,"동결 (경고 및 보직조정)"))</f>
        <v/>
      </c>
      <c r="O58" s="51" t="n"/>
    </row>
    <row r="59">
      <c r="A59" s="33">
        <f>IF(A15="","",A15)</f>
        <v/>
      </c>
      <c r="B59" s="19">
        <f>B15</f>
        <v/>
      </c>
      <c r="C59" s="55" t="n">
        <v>3</v>
      </c>
      <c r="D59" s="55" t="n">
        <v>3</v>
      </c>
      <c r="E59" s="55" t="n">
        <v>3</v>
      </c>
      <c r="F59" s="55" t="n">
        <v>3</v>
      </c>
      <c r="G59" s="55" t="n">
        <v>3</v>
      </c>
      <c r="H59" s="32">
        <f>IF(A59="","",SUM(C59,D59,E59,F59,G59))</f>
        <v/>
      </c>
      <c r="I59" s="19">
        <f>IF(H59="","",_xlfn.IFS(H59&gt;=27,"S",H59&gt;=24,"A",H59&gt;=21,"B",H59&gt;=18,"C",TRUE,"D"))</f>
        <v/>
      </c>
      <c r="J59" s="32">
        <f>IF(A59="","",F15)</f>
        <v/>
      </c>
      <c r="K59" s="32">
        <f>IF(A59="","",R37)</f>
        <v/>
      </c>
      <c r="L59" s="32">
        <f>IF(A59="","",J59+K59+H59)</f>
        <v/>
      </c>
      <c r="M59" s="19">
        <f>IF(L59="","",_xlfn.IFS(L59&gt;=90,"S",L59&gt;=82,"A",L59&gt;=70,"B",L59&gt;=60,"C",TRUE,"D"))</f>
        <v/>
      </c>
      <c r="N59" s="33">
        <f>IF(M59="","",_xlfn.IFS(M59="S","특별성과급 (연봉의 15%) + 연봉 인상 10%",M59="A","성과급 (연봉의 10%) + 연봉 인상 7%",M59="B","연봉 인상 3% (물가인상률 보전)",M59="C","동결 (PIP 대상)",TRUE,"동결 (경고 및 보직조정)"))</f>
        <v/>
      </c>
      <c r="O59" s="51" t="n"/>
    </row>
    <row r="60">
      <c r="A60" s="33">
        <f>IF(A16="","",A16)</f>
        <v/>
      </c>
      <c r="B60" s="19">
        <f>B16</f>
        <v/>
      </c>
      <c r="C60" s="55" t="n">
        <v>2</v>
      </c>
      <c r="D60" s="55" t="n">
        <v>2</v>
      </c>
      <c r="E60" s="55" t="n">
        <v>2</v>
      </c>
      <c r="F60" s="55" t="n">
        <v>2</v>
      </c>
      <c r="G60" s="55" t="n">
        <v>2</v>
      </c>
      <c r="H60" s="32">
        <f>IF(A60="","",SUM(C60,D60,E60,F60,G60))</f>
        <v/>
      </c>
      <c r="I60" s="19">
        <f>IF(H60="","",_xlfn.IFS(H60&gt;=27,"S",H60&gt;=24,"A",H60&gt;=21,"B",H60&gt;=18,"C",TRUE,"D"))</f>
        <v/>
      </c>
      <c r="J60" s="32">
        <f>IF(A60="","",F16)</f>
        <v/>
      </c>
      <c r="K60" s="32">
        <f>IF(A60="","",R38)</f>
        <v/>
      </c>
      <c r="L60" s="32">
        <f>IF(A60="","",J60+K60+H60)</f>
        <v/>
      </c>
      <c r="M60" s="19">
        <f>IF(L60="","",_xlfn.IFS(L60&gt;=90,"S",L60&gt;=82,"A",L60&gt;=70,"B",L60&gt;=60,"C",TRUE,"D"))</f>
        <v/>
      </c>
      <c r="N60" s="33">
        <f>IF(M60="","",_xlfn.IFS(M60="S","특별성과급 (연봉의 15%) + 연봉 인상 10%",M60="A","성과급 (연봉의 10%) + 연봉 인상 7%",M60="B","연봉 인상 3% (물가인상률 보전)",M60="C","동결 (PIP 대상)",TRUE,"동결 (경고 및 보직조정)"))</f>
        <v/>
      </c>
      <c r="O60" s="51" t="n"/>
    </row>
    <row r="61">
      <c r="A61" s="33">
        <f>IF(A17="","",A17)</f>
        <v/>
      </c>
      <c r="B61" s="19">
        <f>B17</f>
        <v/>
      </c>
      <c r="C61" s="55" t="n"/>
      <c r="D61" s="55" t="n"/>
      <c r="E61" s="55" t="n"/>
      <c r="F61" s="55" t="n"/>
      <c r="G61" s="55" t="n"/>
      <c r="H61" s="32">
        <f>IF(A61="","",SUM(C61,D61,E61,F61,G61))</f>
        <v/>
      </c>
      <c r="I61" s="19">
        <f>IF(H61="","",_xlfn.IFS(H61&gt;=27,"S",H61&gt;=24,"A",H61&gt;=21,"B",H61&gt;=18,"C",TRUE,"D"))</f>
        <v/>
      </c>
      <c r="J61" s="32">
        <f>IF(A61="","",F17)</f>
        <v/>
      </c>
      <c r="K61" s="32">
        <f>IF(A61="","",R39)</f>
        <v/>
      </c>
      <c r="L61" s="32">
        <f>IF(A61="","",J61+K61+H61)</f>
        <v/>
      </c>
      <c r="M61" s="19">
        <f>IF(L61="","",_xlfn.IFS(L61&gt;=90,"S",L61&gt;=82,"A",L61&gt;=70,"B",L61&gt;=60,"C",TRUE,"D"))</f>
        <v/>
      </c>
      <c r="N61" s="33">
        <f>IF(M61="","",_xlfn.IFS(M61="S","특별성과급 (연봉의 15%) + 연봉 인상 10%",M61="A","성과급 (연봉의 10%) + 연봉 인상 7%",M61="B","연봉 인상 3% (물가인상률 보전)",M61="C","동결 (PIP 대상)",TRUE,"동결 (경고 및 보직조정)"))</f>
        <v/>
      </c>
      <c r="O61" s="51" t="n"/>
    </row>
    <row r="62">
      <c r="A62" s="33">
        <f>IF(A18="","",A18)</f>
        <v/>
      </c>
      <c r="B62" s="19">
        <f>B18</f>
        <v/>
      </c>
      <c r="C62" s="55" t="n"/>
      <c r="D62" s="55" t="n"/>
      <c r="E62" s="55" t="n"/>
      <c r="F62" s="55" t="n"/>
      <c r="G62" s="55" t="n"/>
      <c r="H62" s="32">
        <f>IF(A62="","",SUM(C62,D62,E62,F62,G62))</f>
        <v/>
      </c>
      <c r="I62" s="19">
        <f>IF(H62="","",_xlfn.IFS(H62&gt;=27,"S",H62&gt;=24,"A",H62&gt;=21,"B",H62&gt;=18,"C",TRUE,"D"))</f>
        <v/>
      </c>
      <c r="J62" s="32">
        <f>IF(A62="","",F18)</f>
        <v/>
      </c>
      <c r="K62" s="32">
        <f>IF(A62="","",R40)</f>
        <v/>
      </c>
      <c r="L62" s="32">
        <f>IF(A62="","",J62+K62+H62)</f>
        <v/>
      </c>
      <c r="M62" s="19">
        <f>IF(L62="","",_xlfn.IFS(L62&gt;=90,"S",L62&gt;=82,"A",L62&gt;=70,"B",L62&gt;=60,"C",TRUE,"D"))</f>
        <v/>
      </c>
      <c r="N62" s="33">
        <f>IF(M62="","",_xlfn.IFS(M62="S","특별성과급 (연봉의 15%) + 연봉 인상 10%",M62="A","성과급 (연봉의 10%) + 연봉 인상 7%",M62="B","연봉 인상 3% (물가인상률 보전)",M62="C","동결 (PIP 대상)",TRUE,"동결 (경고 및 보직조정)"))</f>
        <v/>
      </c>
      <c r="O62" s="51" t="n"/>
    </row>
    <row r="63">
      <c r="A63" s="33">
        <f>IF(A19="","",A19)</f>
        <v/>
      </c>
      <c r="B63" s="19">
        <f>B19</f>
        <v/>
      </c>
      <c r="C63" s="55" t="n"/>
      <c r="D63" s="55" t="n"/>
      <c r="E63" s="55" t="n"/>
      <c r="F63" s="55" t="n"/>
      <c r="G63" s="55" t="n"/>
      <c r="H63" s="32">
        <f>IF(A63="","",SUM(C63,D63,E63,F63,G63))</f>
        <v/>
      </c>
      <c r="I63" s="19">
        <f>IF(H63="","",_xlfn.IFS(H63&gt;=27,"S",H63&gt;=24,"A",H63&gt;=21,"B",H63&gt;=18,"C",TRUE,"D"))</f>
        <v/>
      </c>
      <c r="J63" s="32">
        <f>IF(A63="","",F19)</f>
        <v/>
      </c>
      <c r="K63" s="32">
        <f>IF(A63="","",R41)</f>
        <v/>
      </c>
      <c r="L63" s="32">
        <f>IF(A63="","",J63+K63+H63)</f>
        <v/>
      </c>
      <c r="M63" s="19">
        <f>IF(L63="","",_xlfn.IFS(L63&gt;=90,"S",L63&gt;=82,"A",L63&gt;=70,"B",L63&gt;=60,"C",TRUE,"D"))</f>
        <v/>
      </c>
      <c r="N63" s="33">
        <f>IF(M63="","",_xlfn.IFS(M63="S","특별성과급 (연봉의 15%) + 연봉 인상 10%",M63="A","성과급 (연봉의 10%) + 연봉 인상 7%",M63="B","연봉 인상 3% (물가인상률 보전)",M63="C","동결 (PIP 대상)",TRUE,"동결 (경고 및 보직조정)"))</f>
        <v/>
      </c>
      <c r="O63" s="51" t="n"/>
    </row>
    <row r="64">
      <c r="A64" s="33">
        <f>IF(A20="","",A20)</f>
        <v/>
      </c>
      <c r="B64" s="19">
        <f>B20</f>
        <v/>
      </c>
      <c r="C64" s="55" t="n"/>
      <c r="D64" s="55" t="n"/>
      <c r="E64" s="55" t="n"/>
      <c r="F64" s="55" t="n"/>
      <c r="G64" s="55" t="n"/>
      <c r="H64" s="32">
        <f>IF(A64="","",SUM(C64,D64,E64,F64,G64))</f>
        <v/>
      </c>
      <c r="I64" s="19">
        <f>IF(H64="","",_xlfn.IFS(H64&gt;=27,"S",H64&gt;=24,"A",H64&gt;=21,"B",H64&gt;=18,"C",TRUE,"D"))</f>
        <v/>
      </c>
      <c r="J64" s="32">
        <f>IF(A64="","",F20)</f>
        <v/>
      </c>
      <c r="K64" s="32">
        <f>IF(A64="","",R42)</f>
        <v/>
      </c>
      <c r="L64" s="32">
        <f>IF(A64="","",J64+K64+H64)</f>
        <v/>
      </c>
      <c r="M64" s="19">
        <f>IF(L64="","",_xlfn.IFS(L64&gt;=90,"S",L64&gt;=82,"A",L64&gt;=70,"B",L64&gt;=60,"C",TRUE,"D"))</f>
        <v/>
      </c>
      <c r="N64" s="33">
        <f>IF(M64="","",_xlfn.IFS(M64="S","특별성과급 (연봉의 15%) + 연봉 인상 10%",M64="A","성과급 (연봉의 10%) + 연봉 인상 7%",M64="B","연봉 인상 3% (물가인상률 보전)",M64="C","동결 (PIP 대상)",TRUE,"동결 (경고 및 보직조정)"))</f>
        <v/>
      </c>
      <c r="O64" s="51" t="n"/>
    </row>
    <row r="65">
      <c r="A65" s="33">
        <f>IF(A21="","",A21)</f>
        <v/>
      </c>
      <c r="B65" s="19">
        <f>B21</f>
        <v/>
      </c>
      <c r="C65" s="55" t="n"/>
      <c r="D65" s="55" t="n"/>
      <c r="E65" s="55" t="n"/>
      <c r="F65" s="55" t="n"/>
      <c r="G65" s="55" t="n"/>
      <c r="H65" s="32">
        <f>IF(A65="","",SUM(C65,D65,E65,F65,G65))</f>
        <v/>
      </c>
      <c r="I65" s="19">
        <f>IF(H65="","",_xlfn.IFS(H65&gt;=27,"S",H65&gt;=24,"A",H65&gt;=21,"B",H65&gt;=18,"C",TRUE,"D"))</f>
        <v/>
      </c>
      <c r="J65" s="32">
        <f>IF(A65="","",F21)</f>
        <v/>
      </c>
      <c r="K65" s="32">
        <f>IF(A65="","",R43)</f>
        <v/>
      </c>
      <c r="L65" s="32">
        <f>IF(A65="","",J65+K65+H65)</f>
        <v/>
      </c>
      <c r="M65" s="19">
        <f>IF(L65="","",_xlfn.IFS(L65&gt;=90,"S",L65&gt;=82,"A",L65&gt;=70,"B",L65&gt;=60,"C",TRUE,"D"))</f>
        <v/>
      </c>
      <c r="N65" s="33">
        <f>IF(M65="","",_xlfn.IFS(M65="S","특별성과급 (연봉의 15%) + 연봉 인상 10%",M65="A","성과급 (연봉의 10%) + 연봉 인상 7%",M65="B","연봉 인상 3% (물가인상률 보전)",M65="C","동결 (PIP 대상)",TRUE,"동결 (경고 및 보직조정)"))</f>
        <v/>
      </c>
      <c r="O65" s="51" t="n"/>
    </row>
    <row r="66">
      <c r="A66" s="10" t="inlineStr">
        <is>
          <t>팀 평균 / 합계</t>
        </is>
      </c>
      <c r="C66" s="62" t="n"/>
      <c r="D66" s="62" t="n"/>
      <c r="E66" s="62" t="n"/>
      <c r="F66" s="62" t="n"/>
      <c r="G66" s="62" t="n"/>
      <c r="H66" s="34">
        <f>AVERAGE(H51:H65)</f>
        <v/>
      </c>
      <c r="I66" s="10" t="inlineStr">
        <is>
          <t>-</t>
        </is>
      </c>
      <c r="J66" s="34">
        <f>F6</f>
        <v/>
      </c>
      <c r="K66" s="34">
        <f>AVERAGE(K51:K65)</f>
        <v/>
      </c>
      <c r="L66" s="34">
        <f>AVERAGE(L51:L65)</f>
        <v/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</row>
  </sheetData>
  <mergeCells count="42">
    <mergeCell ref="L50:O50"/>
    <mergeCell ref="E1:S1"/>
    <mergeCell ref="A46:I46"/>
    <mergeCell ref="O26:Q26"/>
    <mergeCell ref="A4:G4"/>
    <mergeCell ref="J47:J49"/>
    <mergeCell ref="F26:H26"/>
    <mergeCell ref="A47:A49"/>
    <mergeCell ref="M47:M49"/>
    <mergeCell ref="G47"/>
    <mergeCell ref="O25:Q25"/>
    <mergeCell ref="L26:N26"/>
    <mergeCell ref="H47:H49"/>
    <mergeCell ref="L25:N25"/>
    <mergeCell ref="E47"/>
    <mergeCell ref="A66:B66"/>
    <mergeCell ref="B25:B27"/>
    <mergeCell ref="S25:S27"/>
    <mergeCell ref="B47:B49"/>
    <mergeCell ref="A24:S24"/>
    <mergeCell ref="J46:O46"/>
    <mergeCell ref="A1:D1"/>
    <mergeCell ref="L47:L49"/>
    <mergeCell ref="N47:N49"/>
    <mergeCell ref="I47:I49"/>
    <mergeCell ref="R25:R27"/>
    <mergeCell ref="C47"/>
    <mergeCell ref="A22:B22"/>
    <mergeCell ref="F25:H25"/>
    <mergeCell ref="C50:I50"/>
    <mergeCell ref="A25:A27"/>
    <mergeCell ref="K47:K49"/>
    <mergeCell ref="D47"/>
    <mergeCell ref="C26:E26"/>
    <mergeCell ref="I26:K26"/>
    <mergeCell ref="A44:B44"/>
    <mergeCell ref="F47"/>
    <mergeCell ref="O47:O49"/>
    <mergeCell ref="C28:S28"/>
    <mergeCell ref="A2:S2"/>
    <mergeCell ref="C25:E25"/>
    <mergeCell ref="I25:K25"/>
  </mergeCells>
  <conditionalFormatting sqref="G6:G2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S29:S43">
    <cfRule type="cellIs" priority="6" operator="equal" dxfId="0">
      <formula>"S"</formula>
    </cfRule>
    <cfRule type="cellIs" priority="7" operator="equal" dxfId="1">
      <formula>"A"</formula>
    </cfRule>
    <cfRule type="cellIs" priority="8" operator="equal" dxfId="2">
      <formula>"B"</formula>
    </cfRule>
    <cfRule type="cellIs" priority="9" operator="equal" dxfId="3">
      <formula>"C"</formula>
    </cfRule>
    <cfRule type="cellIs" priority="10" operator="equal" dxfId="4">
      <formula>"D"</formula>
    </cfRule>
  </conditionalFormatting>
  <conditionalFormatting sqref="I51:I65">
    <cfRule type="cellIs" priority="11" operator="equal" dxfId="0">
      <formula>"S"</formula>
    </cfRule>
    <cfRule type="cellIs" priority="12" operator="equal" dxfId="1">
      <formula>"A"</formula>
    </cfRule>
    <cfRule type="cellIs" priority="13" operator="equal" dxfId="2">
      <formula>"B"</formula>
    </cfRule>
    <cfRule type="cellIs" priority="14" operator="equal" dxfId="3">
      <formula>"C"</formula>
    </cfRule>
    <cfRule type="cellIs" priority="15" operator="equal" dxfId="4">
      <formula>"D"</formula>
    </cfRule>
  </conditionalFormatting>
  <conditionalFormatting sqref="M51:M65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"B"</formula>
    </cfRule>
    <cfRule type="cellIs" priority="19" operator="equal" dxfId="3">
      <formula>"C"</formula>
    </cfRule>
    <cfRule type="cellIs" priority="20" operator="equal" dxfId="4">
      <formula>"D"</formula>
    </cfRule>
  </conditionalFormatting>
  <dataValidations count="3">
    <dataValidation sqref="C7:C21 D7:D21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29:D43 F29:G43 I29:J43 L29:M43 O29:P43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51:G65" showDropDown="0" showInputMessage="0" showErrorMessage="0" allowBlank="0" errorTitle="점수 범위 오류" error="0~6 사이의 정수로 입력해주세요." type="whole" operator="between">
      <formula1>0</formula1>
      <formula2>6</formula2>
    </dataValidation>
  </dataValidation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26" customWidth="1" min="14" max="14"/>
    <col width="18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25" t="inlineStr">
        <is>
          <t>🏠 사용안내로 이동</t>
        </is>
      </c>
      <c r="E1" s="25" t="inlineStr">
        <is>
          <t>📊 전사 종합요약 보기</t>
        </is>
      </c>
    </row>
    <row r="2" ht="46" customHeight="1">
      <c r="A2" s="24" t="inlineStr">
        <is>
          <t>BD (Business Development) — 사업을 만든다   |   ✏️ 이 시트는 잠금이 해제되어 모든 셀을 수정할 수 있습니다. 노란 셀=입력용, 회색 셀=자동계산 수식, 하늘색 셀=고정 항목이니 참고해서 편집하세요. ①결과지표 ②개별성과 ③역량평가+종합 표가 위에서 아래로 나열되어 있으며, 이름·직책은 ①표에 입력하면 ②③표에 자동으로 채워집니다(직접 고쳐도 되지만 그러면 자동연동이 끊깁니다).</t>
        </is>
      </c>
    </row>
    <row r="4">
      <c r="A4" s="4" t="inlineStr">
        <is>
          <t>① 결과지표 · 팀 공동 (50점)</t>
        </is>
      </c>
    </row>
    <row r="5" ht="24" customHeight="1">
      <c r="A5" s="4" t="inlineStr">
        <is>
          <t>이름</t>
        </is>
      </c>
      <c r="B5" s="4" t="inlineStr">
        <is>
          <t>직책</t>
        </is>
      </c>
      <c r="C5" s="4" t="inlineStr">
        <is>
          <t>실적</t>
        </is>
      </c>
      <c r="D5" s="4" t="inlineStr">
        <is>
          <t>목표</t>
        </is>
      </c>
      <c r="E5" s="4" t="inlineStr">
        <is>
          <t>달성률</t>
        </is>
      </c>
      <c r="F5" s="4" t="inlineStr">
        <is>
          <t>점수
(50)</t>
        </is>
      </c>
      <c r="G5" s="4" t="inlineStr">
        <is>
          <t>등급</t>
        </is>
      </c>
    </row>
    <row r="6">
      <c r="A6" s="51" t="inlineStr">
        <is>
          <t>일지매(예시)</t>
        </is>
      </c>
      <c r="B6" s="52" t="inlineStr">
        <is>
          <t>팀리더</t>
        </is>
      </c>
      <c r="C6" s="40">
        <f>SUM(C7:C21)</f>
        <v/>
      </c>
      <c r="D6" s="53" t="n">
        <v>50</v>
      </c>
      <c r="E6" s="54">
        <f>IF(D6=0,"",C6/D6)</f>
        <v/>
      </c>
      <c r="F6" s="32">
        <f>IF(E6="","",MIN(E6*50,50))</f>
        <v/>
      </c>
      <c r="G6" s="19">
        <f>IF(F6="","",_xlfn.IFS(F6&gt;=48,"S",F6&gt;=45,"A",F6&gt;=42,"B",F6&gt;=38,"C",TRUE,"D"))</f>
        <v/>
      </c>
    </row>
    <row r="7">
      <c r="A7" s="51" t="inlineStr">
        <is>
          <t>서준혁(예시)</t>
        </is>
      </c>
      <c r="B7" s="19" t="inlineStr">
        <is>
          <t>팀원</t>
        </is>
      </c>
      <c r="C7" s="55" t="n">
        <v>6</v>
      </c>
      <c r="D7" s="55" t="n">
        <v>5</v>
      </c>
      <c r="E7" s="54">
        <f>IF(OR(A7="",D7=""),"",C7/D7)</f>
        <v/>
      </c>
      <c r="F7" s="32">
        <f>IF(A7="","",F6)</f>
        <v/>
      </c>
      <c r="G7" s="19">
        <f>IF(A7="","",G6)</f>
        <v/>
      </c>
    </row>
    <row r="8">
      <c r="A8" s="51" t="inlineStr">
        <is>
          <t>한아름(예시)</t>
        </is>
      </c>
      <c r="B8" s="19" t="inlineStr">
        <is>
          <t>팀원</t>
        </is>
      </c>
      <c r="C8" s="55" t="n">
        <v>6</v>
      </c>
      <c r="D8" s="55" t="n">
        <v>5</v>
      </c>
      <c r="E8" s="54">
        <f>IF(OR(A8="",D8=""),"",C8/D8)</f>
        <v/>
      </c>
      <c r="F8" s="32">
        <f>IF(A8="","",F6)</f>
        <v/>
      </c>
      <c r="G8" s="19">
        <f>IF(A8="","",G6)</f>
        <v/>
      </c>
    </row>
    <row r="9">
      <c r="A9" s="51" t="inlineStr">
        <is>
          <t>오필승(예시)</t>
        </is>
      </c>
      <c r="B9" s="19" t="inlineStr">
        <is>
          <t>팀원</t>
        </is>
      </c>
      <c r="C9" s="55" t="n">
        <v>5</v>
      </c>
      <c r="D9" s="55" t="n">
        <v>5</v>
      </c>
      <c r="E9" s="54">
        <f>IF(OR(A9="",D9=""),"",C9/D9)</f>
        <v/>
      </c>
      <c r="F9" s="32">
        <f>IF(A9="","",F6)</f>
        <v/>
      </c>
      <c r="G9" s="19">
        <f>IF(A9="","",G6)</f>
        <v/>
      </c>
    </row>
    <row r="10">
      <c r="A10" s="51" t="inlineStr">
        <is>
          <t>임하늘(예시)</t>
        </is>
      </c>
      <c r="B10" s="19" t="inlineStr">
        <is>
          <t>팀원</t>
        </is>
      </c>
      <c r="C10" s="55" t="n">
        <v>5</v>
      </c>
      <c r="D10" s="55" t="n">
        <v>5</v>
      </c>
      <c r="E10" s="54">
        <f>IF(OR(A10="",D10=""),"",C10/D10)</f>
        <v/>
      </c>
      <c r="F10" s="32">
        <f>IF(A10="","",F6)</f>
        <v/>
      </c>
      <c r="G10" s="19">
        <f>IF(A10="","",G6)</f>
        <v/>
      </c>
    </row>
    <row r="11">
      <c r="A11" s="51" t="inlineStr">
        <is>
          <t>문가경(예시)</t>
        </is>
      </c>
      <c r="B11" s="19" t="inlineStr">
        <is>
          <t>팀원</t>
        </is>
      </c>
      <c r="C11" s="55" t="n">
        <v>4</v>
      </c>
      <c r="D11" s="55" t="n">
        <v>5</v>
      </c>
      <c r="E11" s="54">
        <f>IF(OR(A11="",D11=""),"",C11/D11)</f>
        <v/>
      </c>
      <c r="F11" s="32">
        <f>IF(A11="","",F6)</f>
        <v/>
      </c>
      <c r="G11" s="19">
        <f>IF(A11="","",G6)</f>
        <v/>
      </c>
    </row>
    <row r="12">
      <c r="A12" s="51" t="inlineStr">
        <is>
          <t>신동율(예시)</t>
        </is>
      </c>
      <c r="B12" s="19" t="inlineStr">
        <is>
          <t>팀원</t>
        </is>
      </c>
      <c r="C12" s="55" t="n">
        <v>4</v>
      </c>
      <c r="D12" s="55" t="n">
        <v>5</v>
      </c>
      <c r="E12" s="54">
        <f>IF(OR(A12="",D12=""),"",C12/D12)</f>
        <v/>
      </c>
      <c r="F12" s="32">
        <f>IF(A12="","",F6)</f>
        <v/>
      </c>
      <c r="G12" s="19">
        <f>IF(A12="","",G6)</f>
        <v/>
      </c>
    </row>
    <row r="13">
      <c r="A13" s="51" t="inlineStr">
        <is>
          <t>차민서(예시)</t>
        </is>
      </c>
      <c r="B13" s="19" t="inlineStr">
        <is>
          <t>팀원</t>
        </is>
      </c>
      <c r="C13" s="55" t="n">
        <v>3</v>
      </c>
      <c r="D13" s="55" t="n">
        <v>5</v>
      </c>
      <c r="E13" s="54">
        <f>IF(OR(A13="",D13=""),"",C13/D13)</f>
        <v/>
      </c>
      <c r="F13" s="32">
        <f>IF(A13="","",F6)</f>
        <v/>
      </c>
      <c r="G13" s="19">
        <f>IF(A13="","",G6)</f>
        <v/>
      </c>
    </row>
    <row r="14">
      <c r="A14" s="51" t="inlineStr">
        <is>
          <t>구본진(예시)</t>
        </is>
      </c>
      <c r="B14" s="19" t="inlineStr">
        <is>
          <t>팀원</t>
        </is>
      </c>
      <c r="C14" s="55" t="n">
        <v>3</v>
      </c>
      <c r="D14" s="55" t="n">
        <v>5</v>
      </c>
      <c r="E14" s="54">
        <f>IF(OR(A14="",D14=""),"",C14/D14)</f>
        <v/>
      </c>
      <c r="F14" s="32">
        <f>IF(A14="","",F6)</f>
        <v/>
      </c>
      <c r="G14" s="19">
        <f>IF(A14="","",G6)</f>
        <v/>
      </c>
    </row>
    <row r="15">
      <c r="A15" s="51" t="inlineStr">
        <is>
          <t>안유나(예시)</t>
        </is>
      </c>
      <c r="B15" s="19" t="inlineStr">
        <is>
          <t>팀원</t>
        </is>
      </c>
      <c r="C15" s="55" t="n">
        <v>3</v>
      </c>
      <c r="D15" s="55" t="n">
        <v>5</v>
      </c>
      <c r="E15" s="54">
        <f>IF(OR(A15="",D15=""),"",C15/D15)</f>
        <v/>
      </c>
      <c r="F15" s="32">
        <f>IF(A15="","",F6)</f>
        <v/>
      </c>
      <c r="G15" s="19">
        <f>IF(A15="","",G6)</f>
        <v/>
      </c>
    </row>
    <row r="16">
      <c r="A16" s="51" t="inlineStr">
        <is>
          <t>홍서율(예시)</t>
        </is>
      </c>
      <c r="B16" s="19" t="inlineStr">
        <is>
          <t>팀원</t>
        </is>
      </c>
      <c r="C16" s="55" t="n">
        <v>2</v>
      </c>
      <c r="D16" s="55" t="n">
        <v>5</v>
      </c>
      <c r="E16" s="54">
        <f>IF(OR(A16="",D16=""),"",C16/D16)</f>
        <v/>
      </c>
      <c r="F16" s="32">
        <f>IF(A16="","",F6)</f>
        <v/>
      </c>
      <c r="G16" s="19">
        <f>IF(A16="","",G6)</f>
        <v/>
      </c>
    </row>
    <row r="17">
      <c r="A17" s="51" t="n"/>
      <c r="B17" s="19" t="inlineStr">
        <is>
          <t>팀원</t>
        </is>
      </c>
      <c r="C17" s="55" t="n"/>
      <c r="D17" s="55" t="n"/>
      <c r="E17" s="54">
        <f>IF(OR(A17="",D17=""),"",C17/D17)</f>
        <v/>
      </c>
      <c r="F17" s="32">
        <f>IF(A17="","",F6)</f>
        <v/>
      </c>
      <c r="G17" s="19">
        <f>IF(A17="","",G6)</f>
        <v/>
      </c>
    </row>
    <row r="18">
      <c r="A18" s="51" t="n"/>
      <c r="B18" s="19" t="inlineStr">
        <is>
          <t>팀원</t>
        </is>
      </c>
      <c r="C18" s="55" t="n"/>
      <c r="D18" s="55" t="n"/>
      <c r="E18" s="54">
        <f>IF(OR(A18="",D18=""),"",C18/D18)</f>
        <v/>
      </c>
      <c r="F18" s="32">
        <f>IF(A18="","",F6)</f>
        <v/>
      </c>
      <c r="G18" s="19">
        <f>IF(A18="","",G6)</f>
        <v/>
      </c>
    </row>
    <row r="19">
      <c r="A19" s="51" t="n"/>
      <c r="B19" s="19" t="inlineStr">
        <is>
          <t>팀원</t>
        </is>
      </c>
      <c r="C19" s="55" t="n"/>
      <c r="D19" s="55" t="n"/>
      <c r="E19" s="54">
        <f>IF(OR(A19="",D19=""),"",C19/D19)</f>
        <v/>
      </c>
      <c r="F19" s="32">
        <f>IF(A19="","",F6)</f>
        <v/>
      </c>
      <c r="G19" s="19">
        <f>IF(A19="","",G6)</f>
        <v/>
      </c>
    </row>
    <row r="20">
      <c r="A20" s="51" t="n"/>
      <c r="B20" s="19" t="inlineStr">
        <is>
          <t>팀원</t>
        </is>
      </c>
      <c r="C20" s="55" t="n"/>
      <c r="D20" s="55" t="n"/>
      <c r="E20" s="54">
        <f>IF(OR(A20="",D20=""),"",C20/D20)</f>
        <v/>
      </c>
      <c r="F20" s="32">
        <f>IF(A20="","",F6)</f>
        <v/>
      </c>
      <c r="G20" s="19">
        <f>IF(A20="","",G6)</f>
        <v/>
      </c>
    </row>
    <row r="21">
      <c r="A21" s="51" t="n"/>
      <c r="B21" s="19" t="inlineStr">
        <is>
          <t>팀원</t>
        </is>
      </c>
      <c r="C21" s="55" t="n"/>
      <c r="D21" s="55" t="n"/>
      <c r="E21" s="54">
        <f>IF(OR(A21="",D21=""),"",C21/D21)</f>
        <v/>
      </c>
      <c r="F21" s="32">
        <f>IF(A21="","",F6)</f>
        <v/>
      </c>
      <c r="G21" s="19">
        <f>IF(A21="","",G6)</f>
        <v/>
      </c>
    </row>
    <row r="22">
      <c r="A22" s="10" t="inlineStr">
        <is>
          <t>팀 평균 / 합계</t>
        </is>
      </c>
      <c r="C22" s="56">
        <f>SUM(C7:C21)</f>
        <v/>
      </c>
      <c r="D22" s="10" t="inlineStr">
        <is>
          <t>-</t>
        </is>
      </c>
      <c r="E22" s="10" t="inlineStr">
        <is>
          <t>-</t>
        </is>
      </c>
      <c r="F22" s="34">
        <f>F6</f>
        <v/>
      </c>
      <c r="G22" s="10">
        <f>G6</f>
        <v/>
      </c>
    </row>
    <row r="24">
      <c r="A24" s="6" t="inlineStr">
        <is>
          <t>② 개별성과 · 정량 (과정지표Ⅰ, 20점)</t>
        </is>
      </c>
    </row>
    <row r="25" ht="30" customHeight="1">
      <c r="A25" s="2" t="inlineStr">
        <is>
          <t>이름
(①표 자동)</t>
        </is>
      </c>
      <c r="B25" s="2" t="inlineStr">
        <is>
          <t>직책
(①표 자동)</t>
        </is>
      </c>
      <c r="C25" s="58" t="inlineStr">
        <is>
          <t>1. (예시) 신규고객 발굴</t>
        </is>
      </c>
      <c r="F25" s="58" t="inlineStr">
        <is>
          <t>2. (예시) 고객 미팅·피칭</t>
        </is>
      </c>
      <c r="I25" s="58" t="inlineStr">
        <is>
          <t>3. (예시) 제안서 작성</t>
        </is>
      </c>
      <c r="L25" s="58" t="inlineStr">
        <is>
          <t>4. (예시) 계약협상</t>
        </is>
      </c>
      <c r="O25" s="58" t="inlineStr">
        <is>
          <t>5. (예시) 계약 후 온보딩 지원</t>
        </is>
      </c>
      <c r="R25" s="6" t="inlineStr">
        <is>
          <t>소계
(20)</t>
        </is>
      </c>
      <c r="S25" s="6" t="inlineStr">
        <is>
          <t>등급</t>
        </is>
      </c>
    </row>
    <row r="26" ht="42" customHeight="1">
      <c r="C26" s="21" t="inlineStr">
        <is>
          <t>이 항목명은 예시입니다. 팀 고유 KPI로 교체하세요.
계산식 예시: 실적 ÷ 목표 × 4점 = 점수</t>
        </is>
      </c>
      <c r="F26" s="21" t="inlineStr">
        <is>
          <t>이 항목명은 예시입니다. 팀 고유 KPI로 교체하세요.
계산식 예시: 실적 ÷ 목표 × 4점 = 점수</t>
        </is>
      </c>
      <c r="I26" s="21" t="inlineStr">
        <is>
          <t>이 항목명은 예시입니다. 팀 고유 KPI로 교체하세요.
계산식 예시: 실적 ÷ 목표 × 4점 = 점수</t>
        </is>
      </c>
      <c r="L26" s="21" t="inlineStr">
        <is>
          <t>이 항목명은 예시입니다. 팀 고유 KPI로 교체하세요.
계산식 예시: 실적 ÷ 목표 × 4점 = 점수</t>
        </is>
      </c>
      <c r="O26" s="21" t="inlineStr">
        <is>
          <t>이 항목명은 예시입니다. 팀 고유 KPI로 교체하세요.
계산식 예시: 실적 ÷ 목표 × 4점 = 점수</t>
        </is>
      </c>
    </row>
    <row r="27" ht="22" customHeight="1">
      <c r="C27" s="60" t="inlineStr">
        <is>
          <t>실적</t>
        </is>
      </c>
      <c r="D27" s="60" t="inlineStr">
        <is>
          <t>목표</t>
        </is>
      </c>
      <c r="E27" s="60" t="inlineStr">
        <is>
          <t>점수
(4)</t>
        </is>
      </c>
      <c r="F27" s="60" t="inlineStr">
        <is>
          <t>실적</t>
        </is>
      </c>
      <c r="G27" s="60" t="inlineStr">
        <is>
          <t>목표</t>
        </is>
      </c>
      <c r="H27" s="60" t="inlineStr">
        <is>
          <t>점수
(4)</t>
        </is>
      </c>
      <c r="I27" s="60" t="inlineStr">
        <is>
          <t>실적</t>
        </is>
      </c>
      <c r="J27" s="60" t="inlineStr">
        <is>
          <t>목표</t>
        </is>
      </c>
      <c r="K27" s="60" t="inlineStr">
        <is>
          <t>점수
(4)</t>
        </is>
      </c>
      <c r="L27" s="60" t="inlineStr">
        <is>
          <t>실적</t>
        </is>
      </c>
      <c r="M27" s="60" t="inlineStr">
        <is>
          <t>목표</t>
        </is>
      </c>
      <c r="N27" s="60" t="inlineStr">
        <is>
          <t>점수
(4)</t>
        </is>
      </c>
      <c r="O27" s="60" t="inlineStr">
        <is>
          <t>실적</t>
        </is>
      </c>
      <c r="P27" s="60" t="inlineStr">
        <is>
          <t>목표</t>
        </is>
      </c>
      <c r="Q27" s="60" t="inlineStr">
        <is>
          <t>점수
(4)</t>
        </is>
      </c>
    </row>
    <row r="28" ht="30" customHeight="1">
      <c r="A28" s="33">
        <f>IF(A6="","",A6)</f>
        <v/>
      </c>
      <c r="B28" s="19">
        <f>B6</f>
        <v/>
      </c>
      <c r="C28" s="61" t="inlineStr">
        <is>
          <t>팀리더는 개별성과(정량) 항목 해당 없음 — 팀 결과지표·역량평가 중심으로 평가</t>
        </is>
      </c>
    </row>
    <row r="29">
      <c r="A29" s="33">
        <f>IF(A7="","",A7)</f>
        <v/>
      </c>
      <c r="B29" s="19">
        <f>B7</f>
        <v/>
      </c>
      <c r="C29" s="55" t="n">
        <v>62</v>
      </c>
      <c r="D29" s="55" t="n">
        <v>50</v>
      </c>
      <c r="E29" s="32">
        <f>IF(OR(A29="",D29="",D29=0),"",MIN(C29/D29*4,4))</f>
        <v/>
      </c>
      <c r="F29" s="55" t="n">
        <v>37</v>
      </c>
      <c r="G29" s="55" t="n">
        <v>30</v>
      </c>
      <c r="H29" s="32">
        <f>IF(OR(A29="",G29="",G29=0),"",MIN(F29/G29*4,4))</f>
        <v/>
      </c>
      <c r="I29" s="55" t="n">
        <v>25</v>
      </c>
      <c r="J29" s="55" t="n">
        <v>20</v>
      </c>
      <c r="K29" s="32">
        <f>IF(OR(A29="",J29="",J29=0),"",MIN(I29/J29*4,4))</f>
        <v/>
      </c>
      <c r="L29" s="55" t="n">
        <v>12</v>
      </c>
      <c r="M29" s="55" t="n">
        <v>10</v>
      </c>
      <c r="N29" s="32">
        <f>IF(OR(A29="",M29="",M29=0),"",MIN(L29/M29*4,4))</f>
        <v/>
      </c>
      <c r="O29" s="55" t="n">
        <v>10</v>
      </c>
      <c r="P29" s="55" t="n">
        <v>8</v>
      </c>
      <c r="Q29" s="32">
        <f>IF(OR(A29="",P29="",P29=0),"",MIN(O29/P29*4,4))</f>
        <v/>
      </c>
      <c r="R29" s="32">
        <f>IF(A29="","",SUM(E29,H29,K29,N29,Q29))</f>
        <v/>
      </c>
      <c r="S29" s="19">
        <f>IF(R29="","",_xlfn.IFS(R29&gt;=18,"S",R29&gt;=16,"A",R29&gt;=14,"B",R29&gt;=11,"C",TRUE,"D"))</f>
        <v/>
      </c>
    </row>
    <row r="30">
      <c r="A30" s="33">
        <f>IF(A8="","",A8)</f>
        <v/>
      </c>
      <c r="B30" s="19">
        <f>B8</f>
        <v/>
      </c>
      <c r="C30" s="55" t="n">
        <v>56</v>
      </c>
      <c r="D30" s="55" t="n">
        <v>50</v>
      </c>
      <c r="E30" s="32">
        <f>IF(OR(A30="",D30="",D30=0),"",MIN(C30/D30*4,4))</f>
        <v/>
      </c>
      <c r="F30" s="55" t="n">
        <v>34</v>
      </c>
      <c r="G30" s="55" t="n">
        <v>30</v>
      </c>
      <c r="H30" s="32">
        <f>IF(OR(A30="",G30="",G30=0),"",MIN(F30/G30*4,4))</f>
        <v/>
      </c>
      <c r="I30" s="55" t="n">
        <v>22</v>
      </c>
      <c r="J30" s="55" t="n">
        <v>20</v>
      </c>
      <c r="K30" s="32">
        <f>IF(OR(A30="",J30="",J30=0),"",MIN(I30/J30*4,4))</f>
        <v/>
      </c>
      <c r="L30" s="55" t="n">
        <v>11</v>
      </c>
      <c r="M30" s="55" t="n">
        <v>10</v>
      </c>
      <c r="N30" s="32">
        <f>IF(OR(A30="",M30="",M30=0),"",MIN(L30/M30*4,4))</f>
        <v/>
      </c>
      <c r="O30" s="55" t="n">
        <v>9</v>
      </c>
      <c r="P30" s="55" t="n">
        <v>8</v>
      </c>
      <c r="Q30" s="32">
        <f>IF(OR(A30="",P30="",P30=0),"",MIN(O30/P30*4,4))</f>
        <v/>
      </c>
      <c r="R30" s="32">
        <f>IF(A30="","",SUM(E30,H30,K30,N30,Q30))</f>
        <v/>
      </c>
      <c r="S30" s="19">
        <f>IF(R30="","",_xlfn.IFS(R30&gt;=18,"S",R30&gt;=16,"A",R30&gt;=14,"B",R30&gt;=11,"C",TRUE,"D"))</f>
        <v/>
      </c>
    </row>
    <row r="31">
      <c r="A31" s="33">
        <f>IF(A9="","",A9)</f>
        <v/>
      </c>
      <c r="B31" s="19">
        <f>B9</f>
        <v/>
      </c>
      <c r="C31" s="55" t="n">
        <v>52</v>
      </c>
      <c r="D31" s="55" t="n">
        <v>50</v>
      </c>
      <c r="E31" s="32">
        <f>IF(OR(A31="",D31="",D31=0),"",MIN(C31/D31*4,4))</f>
        <v/>
      </c>
      <c r="F31" s="55" t="n">
        <v>31</v>
      </c>
      <c r="G31" s="55" t="n">
        <v>30</v>
      </c>
      <c r="H31" s="32">
        <f>IF(OR(A31="",G31="",G31=0),"",MIN(F31/G31*4,4))</f>
        <v/>
      </c>
      <c r="I31" s="55" t="n">
        <v>21</v>
      </c>
      <c r="J31" s="55" t="n">
        <v>20</v>
      </c>
      <c r="K31" s="32">
        <f>IF(OR(A31="",J31="",J31=0),"",MIN(I31/J31*4,4))</f>
        <v/>
      </c>
      <c r="L31" s="55" t="n">
        <v>10</v>
      </c>
      <c r="M31" s="55" t="n">
        <v>10</v>
      </c>
      <c r="N31" s="32">
        <f>IF(OR(A31="",M31="",M31=0),"",MIN(L31/M31*4,4))</f>
        <v/>
      </c>
      <c r="O31" s="55" t="n">
        <v>8</v>
      </c>
      <c r="P31" s="55" t="n">
        <v>8</v>
      </c>
      <c r="Q31" s="32">
        <f>IF(OR(A31="",P31="",P31=0),"",MIN(O31/P31*4,4))</f>
        <v/>
      </c>
      <c r="R31" s="32">
        <f>IF(A31="","",SUM(E31,H31,K31,N31,Q31))</f>
        <v/>
      </c>
      <c r="S31" s="19">
        <f>IF(R31="","",_xlfn.IFS(R31&gt;=18,"S",R31&gt;=16,"A",R31&gt;=14,"B",R31&gt;=11,"C",TRUE,"D"))</f>
        <v/>
      </c>
    </row>
    <row r="32">
      <c r="A32" s="33">
        <f>IF(A10="","",A10)</f>
        <v/>
      </c>
      <c r="B32" s="19">
        <f>B10</f>
        <v/>
      </c>
      <c r="C32" s="55" t="n">
        <v>48</v>
      </c>
      <c r="D32" s="55" t="n">
        <v>50</v>
      </c>
      <c r="E32" s="32">
        <f>IF(OR(A32="",D32="",D32=0),"",MIN(C32/D32*4,4))</f>
        <v/>
      </c>
      <c r="F32" s="55" t="n">
        <v>29</v>
      </c>
      <c r="G32" s="55" t="n">
        <v>30</v>
      </c>
      <c r="H32" s="32">
        <f>IF(OR(A32="",G32="",G32=0),"",MIN(F32/G32*4,4))</f>
        <v/>
      </c>
      <c r="I32" s="55" t="n">
        <v>19</v>
      </c>
      <c r="J32" s="55" t="n">
        <v>20</v>
      </c>
      <c r="K32" s="32">
        <f>IF(OR(A32="",J32="",J32=0),"",MIN(I32/J32*4,4))</f>
        <v/>
      </c>
      <c r="L32" s="55" t="n">
        <v>10</v>
      </c>
      <c r="M32" s="55" t="n">
        <v>10</v>
      </c>
      <c r="N32" s="32">
        <f>IF(OR(A32="",M32="",M32=0),"",MIN(L32/M32*4,4))</f>
        <v/>
      </c>
      <c r="O32" s="55" t="n">
        <v>8</v>
      </c>
      <c r="P32" s="55" t="n">
        <v>8</v>
      </c>
      <c r="Q32" s="32">
        <f>IF(OR(A32="",P32="",P32=0),"",MIN(O32/P32*4,4))</f>
        <v/>
      </c>
      <c r="R32" s="32">
        <f>IF(A32="","",SUM(E32,H32,K32,N32,Q32))</f>
        <v/>
      </c>
      <c r="S32" s="19">
        <f>IF(R32="","",_xlfn.IFS(R32&gt;=18,"S",R32&gt;=16,"A",R32&gt;=14,"B",R32&gt;=11,"C",TRUE,"D"))</f>
        <v/>
      </c>
    </row>
    <row r="33">
      <c r="A33" s="33">
        <f>IF(A11="","",A11)</f>
        <v/>
      </c>
      <c r="B33" s="19">
        <f>B11</f>
        <v/>
      </c>
      <c r="C33" s="55" t="n">
        <v>44</v>
      </c>
      <c r="D33" s="55" t="n">
        <v>50</v>
      </c>
      <c r="E33" s="32">
        <f>IF(OR(A33="",D33="",D33=0),"",MIN(C33/D33*4,4))</f>
        <v/>
      </c>
      <c r="F33" s="55" t="n">
        <v>26</v>
      </c>
      <c r="G33" s="55" t="n">
        <v>30</v>
      </c>
      <c r="H33" s="32">
        <f>IF(OR(A33="",G33="",G33=0),"",MIN(F33/G33*4,4))</f>
        <v/>
      </c>
      <c r="I33" s="55" t="n">
        <v>17</v>
      </c>
      <c r="J33" s="55" t="n">
        <v>20</v>
      </c>
      <c r="K33" s="32">
        <f>IF(OR(A33="",J33="",J33=0),"",MIN(I33/J33*4,4))</f>
        <v/>
      </c>
      <c r="L33" s="55" t="n">
        <v>9</v>
      </c>
      <c r="M33" s="55" t="n">
        <v>10</v>
      </c>
      <c r="N33" s="32">
        <f>IF(OR(A33="",M33="",M33=0),"",MIN(L33/M33*4,4))</f>
        <v/>
      </c>
      <c r="O33" s="55" t="n">
        <v>7</v>
      </c>
      <c r="P33" s="55" t="n">
        <v>8</v>
      </c>
      <c r="Q33" s="32">
        <f>IF(OR(A33="",P33="",P33=0),"",MIN(O33/P33*4,4))</f>
        <v/>
      </c>
      <c r="R33" s="32">
        <f>IF(A33="","",SUM(E33,H33,K33,N33,Q33))</f>
        <v/>
      </c>
      <c r="S33" s="19">
        <f>IF(R33="","",_xlfn.IFS(R33&gt;=18,"S",R33&gt;=16,"A",R33&gt;=14,"B",R33&gt;=11,"C",TRUE,"D"))</f>
        <v/>
      </c>
    </row>
    <row r="34">
      <c r="A34" s="33">
        <f>IF(A12="","",A12)</f>
        <v/>
      </c>
      <c r="B34" s="19">
        <f>B12</f>
        <v/>
      </c>
      <c r="C34" s="55" t="n">
        <v>39</v>
      </c>
      <c r="D34" s="55" t="n">
        <v>50</v>
      </c>
      <c r="E34" s="32">
        <f>IF(OR(A34="",D34="",D34=0),"",MIN(C34/D34*4,4))</f>
        <v/>
      </c>
      <c r="F34" s="55" t="n">
        <v>24</v>
      </c>
      <c r="G34" s="55" t="n">
        <v>30</v>
      </c>
      <c r="H34" s="32">
        <f>IF(OR(A34="",G34="",G34=0),"",MIN(F34/G34*4,4))</f>
        <v/>
      </c>
      <c r="I34" s="55" t="n">
        <v>16</v>
      </c>
      <c r="J34" s="55" t="n">
        <v>20</v>
      </c>
      <c r="K34" s="32">
        <f>IF(OR(A34="",J34="",J34=0),"",MIN(I34/J34*4,4))</f>
        <v/>
      </c>
      <c r="L34" s="55" t="n">
        <v>8</v>
      </c>
      <c r="M34" s="55" t="n">
        <v>10</v>
      </c>
      <c r="N34" s="32">
        <f>IF(OR(A34="",M34="",M34=0),"",MIN(L34/M34*4,4))</f>
        <v/>
      </c>
      <c r="O34" s="55" t="n">
        <v>6</v>
      </c>
      <c r="P34" s="55" t="n">
        <v>8</v>
      </c>
      <c r="Q34" s="32">
        <f>IF(OR(A34="",P34="",P34=0),"",MIN(O34/P34*4,4))</f>
        <v/>
      </c>
      <c r="R34" s="32">
        <f>IF(A34="","",SUM(E34,H34,K34,N34,Q34))</f>
        <v/>
      </c>
      <c r="S34" s="19">
        <f>IF(R34="","",_xlfn.IFS(R34&gt;=18,"S",R34&gt;=16,"A",R34&gt;=14,"B",R34&gt;=11,"C",TRUE,"D"))</f>
        <v/>
      </c>
    </row>
    <row r="35">
      <c r="A35" s="33">
        <f>IF(A13="","",A13)</f>
        <v/>
      </c>
      <c r="B35" s="19">
        <f>B13</f>
        <v/>
      </c>
      <c r="C35" s="55" t="n">
        <v>35</v>
      </c>
      <c r="D35" s="55" t="n">
        <v>50</v>
      </c>
      <c r="E35" s="32">
        <f>IF(OR(A35="",D35="",D35=0),"",MIN(C35/D35*4,4))</f>
        <v/>
      </c>
      <c r="F35" s="55" t="n">
        <v>21</v>
      </c>
      <c r="G35" s="55" t="n">
        <v>30</v>
      </c>
      <c r="H35" s="32">
        <f>IF(OR(A35="",G35="",G35=0),"",MIN(F35/G35*4,4))</f>
        <v/>
      </c>
      <c r="I35" s="55" t="n">
        <v>14</v>
      </c>
      <c r="J35" s="55" t="n">
        <v>20</v>
      </c>
      <c r="K35" s="32">
        <f>IF(OR(A35="",J35="",J35=0),"",MIN(I35/J35*4,4))</f>
        <v/>
      </c>
      <c r="L35" s="55" t="n">
        <v>7</v>
      </c>
      <c r="M35" s="55" t="n">
        <v>10</v>
      </c>
      <c r="N35" s="32">
        <f>IF(OR(A35="",M35="",M35=0),"",MIN(L35/M35*4,4))</f>
        <v/>
      </c>
      <c r="O35" s="55" t="n">
        <v>6</v>
      </c>
      <c r="P35" s="55" t="n">
        <v>8</v>
      </c>
      <c r="Q35" s="32">
        <f>IF(OR(A35="",P35="",P35=0),"",MIN(O35/P35*4,4))</f>
        <v/>
      </c>
      <c r="R35" s="32">
        <f>IF(A35="","",SUM(E35,H35,K35,N35,Q35))</f>
        <v/>
      </c>
      <c r="S35" s="19">
        <f>IF(R35="","",_xlfn.IFS(R35&gt;=18,"S",R35&gt;=16,"A",R35&gt;=14,"B",R35&gt;=11,"C",TRUE,"D"))</f>
        <v/>
      </c>
    </row>
    <row r="36">
      <c r="A36" s="33">
        <f>IF(A14="","",A14)</f>
        <v/>
      </c>
      <c r="B36" s="19">
        <f>B14</f>
        <v/>
      </c>
      <c r="C36" s="55" t="n">
        <v>31</v>
      </c>
      <c r="D36" s="55" t="n">
        <v>50</v>
      </c>
      <c r="E36" s="32">
        <f>IF(OR(A36="",D36="",D36=0),"",MIN(C36/D36*4,4))</f>
        <v/>
      </c>
      <c r="F36" s="55" t="n">
        <v>18</v>
      </c>
      <c r="G36" s="55" t="n">
        <v>30</v>
      </c>
      <c r="H36" s="32">
        <f>IF(OR(A36="",G36="",G36=0),"",MIN(F36/G36*4,4))</f>
        <v/>
      </c>
      <c r="I36" s="55" t="n">
        <v>12</v>
      </c>
      <c r="J36" s="55" t="n">
        <v>20</v>
      </c>
      <c r="K36" s="32">
        <f>IF(OR(A36="",J36="",J36=0),"",MIN(I36/J36*4,4))</f>
        <v/>
      </c>
      <c r="L36" s="55" t="n">
        <v>6</v>
      </c>
      <c r="M36" s="55" t="n">
        <v>10</v>
      </c>
      <c r="N36" s="32">
        <f>IF(OR(A36="",M36="",M36=0),"",MIN(L36/M36*4,4))</f>
        <v/>
      </c>
      <c r="O36" s="55" t="n">
        <v>5</v>
      </c>
      <c r="P36" s="55" t="n">
        <v>8</v>
      </c>
      <c r="Q36" s="32">
        <f>IF(OR(A36="",P36="",P36=0),"",MIN(O36/P36*4,4))</f>
        <v/>
      </c>
      <c r="R36" s="32">
        <f>IF(A36="","",SUM(E36,H36,K36,N36,Q36))</f>
        <v/>
      </c>
      <c r="S36" s="19">
        <f>IF(R36="","",_xlfn.IFS(R36&gt;=18,"S",R36&gt;=16,"A",R36&gt;=14,"B",R36&gt;=11,"C",TRUE,"D"))</f>
        <v/>
      </c>
    </row>
    <row r="37">
      <c r="A37" s="33">
        <f>IF(A15="","",A15)</f>
        <v/>
      </c>
      <c r="B37" s="19">
        <f>B15</f>
        <v/>
      </c>
      <c r="C37" s="55" t="n">
        <v>25</v>
      </c>
      <c r="D37" s="55" t="n">
        <v>50</v>
      </c>
      <c r="E37" s="32">
        <f>IF(OR(A37="",D37="",D37=0),"",MIN(C37/D37*4,4))</f>
        <v/>
      </c>
      <c r="F37" s="55" t="n">
        <v>15</v>
      </c>
      <c r="G37" s="55" t="n">
        <v>30</v>
      </c>
      <c r="H37" s="32">
        <f>IF(OR(A37="",G37="",G37=0),"",MIN(F37/G37*4,4))</f>
        <v/>
      </c>
      <c r="I37" s="55" t="n">
        <v>10</v>
      </c>
      <c r="J37" s="55" t="n">
        <v>20</v>
      </c>
      <c r="K37" s="32">
        <f>IF(OR(A37="",J37="",J37=0),"",MIN(I37/J37*4,4))</f>
        <v/>
      </c>
      <c r="L37" s="55" t="n">
        <v>5</v>
      </c>
      <c r="M37" s="55" t="n">
        <v>10</v>
      </c>
      <c r="N37" s="32">
        <f>IF(OR(A37="",M37="",M37=0),"",MIN(L37/M37*4,4))</f>
        <v/>
      </c>
      <c r="O37" s="55" t="n">
        <v>4</v>
      </c>
      <c r="P37" s="55" t="n">
        <v>8</v>
      </c>
      <c r="Q37" s="32">
        <f>IF(OR(A37="",P37="",P37=0),"",MIN(O37/P37*4,4))</f>
        <v/>
      </c>
      <c r="R37" s="32">
        <f>IF(A37="","",SUM(E37,H37,K37,N37,Q37))</f>
        <v/>
      </c>
      <c r="S37" s="19">
        <f>IF(R37="","",_xlfn.IFS(R37&gt;=18,"S",R37&gt;=16,"A",R37&gt;=14,"B",R37&gt;=11,"C",TRUE,"D"))</f>
        <v/>
      </c>
    </row>
    <row r="38">
      <c r="A38" s="33">
        <f>IF(A16="","",A16)</f>
        <v/>
      </c>
      <c r="B38" s="19">
        <f>B16</f>
        <v/>
      </c>
      <c r="C38" s="55" t="n">
        <v>20</v>
      </c>
      <c r="D38" s="55" t="n">
        <v>50</v>
      </c>
      <c r="E38" s="32">
        <f>IF(OR(A38="",D38="",D38=0),"",MIN(C38/D38*4,4))</f>
        <v/>
      </c>
      <c r="F38" s="55" t="n">
        <v>12</v>
      </c>
      <c r="G38" s="55" t="n">
        <v>30</v>
      </c>
      <c r="H38" s="32">
        <f>IF(OR(A38="",G38="",G38=0),"",MIN(F38/G38*4,4))</f>
        <v/>
      </c>
      <c r="I38" s="55" t="n">
        <v>8</v>
      </c>
      <c r="J38" s="55" t="n">
        <v>20</v>
      </c>
      <c r="K38" s="32">
        <f>IF(OR(A38="",J38="",J38=0),"",MIN(I38/J38*4,4))</f>
        <v/>
      </c>
      <c r="L38" s="55" t="n">
        <v>4</v>
      </c>
      <c r="M38" s="55" t="n">
        <v>10</v>
      </c>
      <c r="N38" s="32">
        <f>IF(OR(A38="",M38="",M38=0),"",MIN(L38/M38*4,4))</f>
        <v/>
      </c>
      <c r="O38" s="55" t="n">
        <v>3</v>
      </c>
      <c r="P38" s="55" t="n">
        <v>8</v>
      </c>
      <c r="Q38" s="32">
        <f>IF(OR(A38="",P38="",P38=0),"",MIN(O38/P38*4,4))</f>
        <v/>
      </c>
      <c r="R38" s="32">
        <f>IF(A38="","",SUM(E38,H38,K38,N38,Q38))</f>
        <v/>
      </c>
      <c r="S38" s="19">
        <f>IF(R38="","",_xlfn.IFS(R38&gt;=18,"S",R38&gt;=16,"A",R38&gt;=14,"B",R38&gt;=11,"C",TRUE,"D"))</f>
        <v/>
      </c>
    </row>
    <row r="39">
      <c r="A39" s="33">
        <f>IF(A17="","",A17)</f>
        <v/>
      </c>
      <c r="B39" s="19">
        <f>B17</f>
        <v/>
      </c>
      <c r="C39" s="55" t="n"/>
      <c r="D39" s="55" t="n"/>
      <c r="E39" s="32">
        <f>IF(OR(A39="",D39="",D39=0),"",MIN(C39/D39*4,4))</f>
        <v/>
      </c>
      <c r="F39" s="55" t="n"/>
      <c r="G39" s="55" t="n"/>
      <c r="H39" s="32">
        <f>IF(OR(A39="",G39="",G39=0),"",MIN(F39/G39*4,4))</f>
        <v/>
      </c>
      <c r="I39" s="55" t="n"/>
      <c r="J39" s="55" t="n"/>
      <c r="K39" s="32">
        <f>IF(OR(A39="",J39="",J39=0),"",MIN(I39/J39*4,4))</f>
        <v/>
      </c>
      <c r="L39" s="55" t="n"/>
      <c r="M39" s="55" t="n"/>
      <c r="N39" s="32">
        <f>IF(OR(A39="",M39="",M39=0),"",MIN(L39/M39*4,4))</f>
        <v/>
      </c>
      <c r="O39" s="55" t="n"/>
      <c r="P39" s="55" t="n"/>
      <c r="Q39" s="32">
        <f>IF(OR(A39="",P39="",P39=0),"",MIN(O39/P39*4,4))</f>
        <v/>
      </c>
      <c r="R39" s="32">
        <f>IF(A39="","",SUM(E39,H39,K39,N39,Q39))</f>
        <v/>
      </c>
      <c r="S39" s="19">
        <f>IF(R39="","",_xlfn.IFS(R39&gt;=18,"S",R39&gt;=16,"A",R39&gt;=14,"B",R39&gt;=11,"C",TRUE,"D"))</f>
        <v/>
      </c>
    </row>
    <row r="40">
      <c r="A40" s="33">
        <f>IF(A18="","",A18)</f>
        <v/>
      </c>
      <c r="B40" s="19">
        <f>B18</f>
        <v/>
      </c>
      <c r="C40" s="55" t="n"/>
      <c r="D40" s="55" t="n"/>
      <c r="E40" s="32">
        <f>IF(OR(A40="",D40="",D40=0),"",MIN(C40/D40*4,4))</f>
        <v/>
      </c>
      <c r="F40" s="55" t="n"/>
      <c r="G40" s="55" t="n"/>
      <c r="H40" s="32">
        <f>IF(OR(A40="",G40="",G40=0),"",MIN(F40/G40*4,4))</f>
        <v/>
      </c>
      <c r="I40" s="55" t="n"/>
      <c r="J40" s="55" t="n"/>
      <c r="K40" s="32">
        <f>IF(OR(A40="",J40="",J40=0),"",MIN(I40/J40*4,4))</f>
        <v/>
      </c>
      <c r="L40" s="55" t="n"/>
      <c r="M40" s="55" t="n"/>
      <c r="N40" s="32">
        <f>IF(OR(A40="",M40="",M40=0),"",MIN(L40/M40*4,4))</f>
        <v/>
      </c>
      <c r="O40" s="55" t="n"/>
      <c r="P40" s="55" t="n"/>
      <c r="Q40" s="32">
        <f>IF(OR(A40="",P40="",P40=0),"",MIN(O40/P40*4,4))</f>
        <v/>
      </c>
      <c r="R40" s="32">
        <f>IF(A40="","",SUM(E40,H40,K40,N40,Q40))</f>
        <v/>
      </c>
      <c r="S40" s="19">
        <f>IF(R40="","",_xlfn.IFS(R40&gt;=18,"S",R40&gt;=16,"A",R40&gt;=14,"B",R40&gt;=11,"C",TRUE,"D"))</f>
        <v/>
      </c>
    </row>
    <row r="41">
      <c r="A41" s="33">
        <f>IF(A19="","",A19)</f>
        <v/>
      </c>
      <c r="B41" s="19">
        <f>B19</f>
        <v/>
      </c>
      <c r="C41" s="55" t="n"/>
      <c r="D41" s="55" t="n"/>
      <c r="E41" s="32">
        <f>IF(OR(A41="",D41="",D41=0),"",MIN(C41/D41*4,4))</f>
        <v/>
      </c>
      <c r="F41" s="55" t="n"/>
      <c r="G41" s="55" t="n"/>
      <c r="H41" s="32">
        <f>IF(OR(A41="",G41="",G41=0),"",MIN(F41/G41*4,4))</f>
        <v/>
      </c>
      <c r="I41" s="55" t="n"/>
      <c r="J41" s="55" t="n"/>
      <c r="K41" s="32">
        <f>IF(OR(A41="",J41="",J41=0),"",MIN(I41/J41*4,4))</f>
        <v/>
      </c>
      <c r="L41" s="55" t="n"/>
      <c r="M41" s="55" t="n"/>
      <c r="N41" s="32">
        <f>IF(OR(A41="",M41="",M41=0),"",MIN(L41/M41*4,4))</f>
        <v/>
      </c>
      <c r="O41" s="55" t="n"/>
      <c r="P41" s="55" t="n"/>
      <c r="Q41" s="32">
        <f>IF(OR(A41="",P41="",P41=0),"",MIN(O41/P41*4,4))</f>
        <v/>
      </c>
      <c r="R41" s="32">
        <f>IF(A41="","",SUM(E41,H41,K41,N41,Q41))</f>
        <v/>
      </c>
      <c r="S41" s="19">
        <f>IF(R41="","",_xlfn.IFS(R41&gt;=18,"S",R41&gt;=16,"A",R41&gt;=14,"B",R41&gt;=11,"C",TRUE,"D"))</f>
        <v/>
      </c>
    </row>
    <row r="42">
      <c r="A42" s="33">
        <f>IF(A20="","",A20)</f>
        <v/>
      </c>
      <c r="B42" s="19">
        <f>B20</f>
        <v/>
      </c>
      <c r="C42" s="55" t="n"/>
      <c r="D42" s="55" t="n"/>
      <c r="E42" s="32">
        <f>IF(OR(A42="",D42="",D42=0),"",MIN(C42/D42*4,4))</f>
        <v/>
      </c>
      <c r="F42" s="55" t="n"/>
      <c r="G42" s="55" t="n"/>
      <c r="H42" s="32">
        <f>IF(OR(A42="",G42="",G42=0),"",MIN(F42/G42*4,4))</f>
        <v/>
      </c>
      <c r="I42" s="55" t="n"/>
      <c r="J42" s="55" t="n"/>
      <c r="K42" s="32">
        <f>IF(OR(A42="",J42="",J42=0),"",MIN(I42/J42*4,4))</f>
        <v/>
      </c>
      <c r="L42" s="55" t="n"/>
      <c r="M42" s="55" t="n"/>
      <c r="N42" s="32">
        <f>IF(OR(A42="",M42="",M42=0),"",MIN(L42/M42*4,4))</f>
        <v/>
      </c>
      <c r="O42" s="55" t="n"/>
      <c r="P42" s="55" t="n"/>
      <c r="Q42" s="32">
        <f>IF(OR(A42="",P42="",P42=0),"",MIN(O42/P42*4,4))</f>
        <v/>
      </c>
      <c r="R42" s="32">
        <f>IF(A42="","",SUM(E42,H42,K42,N42,Q42))</f>
        <v/>
      </c>
      <c r="S42" s="19">
        <f>IF(R42="","",_xlfn.IFS(R42&gt;=18,"S",R42&gt;=16,"A",R42&gt;=14,"B",R42&gt;=11,"C",TRUE,"D"))</f>
        <v/>
      </c>
    </row>
    <row r="43">
      <c r="A43" s="33">
        <f>IF(A21="","",A21)</f>
        <v/>
      </c>
      <c r="B43" s="19">
        <f>B21</f>
        <v/>
      </c>
      <c r="C43" s="55" t="n"/>
      <c r="D43" s="55" t="n"/>
      <c r="E43" s="32">
        <f>IF(OR(A43="",D43="",D43=0),"",MIN(C43/D43*4,4))</f>
        <v/>
      </c>
      <c r="F43" s="55" t="n"/>
      <c r="G43" s="55" t="n"/>
      <c r="H43" s="32">
        <f>IF(OR(A43="",G43="",G43=0),"",MIN(F43/G43*4,4))</f>
        <v/>
      </c>
      <c r="I43" s="55" t="n"/>
      <c r="J43" s="55" t="n"/>
      <c r="K43" s="32">
        <f>IF(OR(A43="",J43="",J43=0),"",MIN(I43/J43*4,4))</f>
        <v/>
      </c>
      <c r="L43" s="55" t="n"/>
      <c r="M43" s="55" t="n"/>
      <c r="N43" s="32">
        <f>IF(OR(A43="",M43="",M43=0),"",MIN(L43/M43*4,4))</f>
        <v/>
      </c>
      <c r="O43" s="55" t="n"/>
      <c r="P43" s="55" t="n"/>
      <c r="Q43" s="32">
        <f>IF(OR(A43="",P43="",P43=0),"",MIN(O43/P43*4,4))</f>
        <v/>
      </c>
      <c r="R43" s="32">
        <f>IF(A43="","",SUM(E43,H43,K43,N43,Q43))</f>
        <v/>
      </c>
      <c r="S43" s="19">
        <f>IF(R43="","",_xlfn.IFS(R43&gt;=18,"S",R43&gt;=16,"A",R43&gt;=14,"B",R43&gt;=11,"C",TRUE,"D"))</f>
        <v/>
      </c>
    </row>
    <row r="44">
      <c r="A44" s="10" t="inlineStr">
        <is>
          <t>팀 평균 / 합계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34">
        <f>AVERAGE(R29:R43)</f>
        <v/>
      </c>
      <c r="S44" s="10" t="inlineStr">
        <is>
          <t>-</t>
        </is>
      </c>
    </row>
    <row r="46">
      <c r="A46" s="8" t="inlineStr">
        <is>
          <t>③ 역량평가 · 정성 (과정지표Ⅱ, 30점)</t>
        </is>
      </c>
      <c r="J46" s="2" t="inlineStr">
        <is>
          <t>④ 종합</t>
        </is>
      </c>
    </row>
    <row r="47" ht="30" customHeight="1">
      <c r="A47" s="2" t="inlineStr">
        <is>
          <t>이름
(①표 자동)</t>
        </is>
      </c>
      <c r="B47" s="2" t="inlineStr">
        <is>
          <t>직책
(①표 자동)</t>
        </is>
      </c>
      <c r="C47" s="8" t="inlineStr">
        <is>
          <t>업무태도</t>
        </is>
      </c>
      <c r="D47" s="8" t="inlineStr">
        <is>
          <t>전문소통</t>
        </is>
      </c>
      <c r="E47" s="8" t="inlineStr">
        <is>
          <t>조직화합</t>
        </is>
      </c>
      <c r="F47" s="8" t="inlineStr">
        <is>
          <t>업무지시이행</t>
        </is>
      </c>
      <c r="G47" s="8" t="inlineStr">
        <is>
          <t>조직기여</t>
        </is>
      </c>
      <c r="H47" s="8" t="inlineStr">
        <is>
          <t>소계
(30)</t>
        </is>
      </c>
      <c r="I47" s="8" t="inlineStr">
        <is>
          <t>등급</t>
        </is>
      </c>
      <c r="J47" s="2" t="inlineStr">
        <is>
          <t>①결과지표
점수(참조)</t>
        </is>
      </c>
      <c r="K47" s="2" t="inlineStr">
        <is>
          <t>②개별성과
소계(참조)</t>
        </is>
      </c>
      <c r="L47" s="2" t="inlineStr">
        <is>
          <t>종합점수
(100)</t>
        </is>
      </c>
      <c r="M47" s="2" t="inlineStr">
        <is>
          <t>종합등급</t>
        </is>
      </c>
      <c r="N47" s="2" t="inlineStr">
        <is>
          <t>보상구분</t>
        </is>
      </c>
      <c r="O47" s="2" t="inlineStr">
        <is>
          <t>비고</t>
        </is>
      </c>
    </row>
    <row r="48" ht="42" customHeight="1">
      <c r="C48" s="21" t="inlineStr">
        <is>
          <t>성실성·근태·마감 준수 등 기본 업무 자세 (0~6점)</t>
        </is>
      </c>
      <c r="D48" s="21" t="inlineStr">
        <is>
          <t>고객·동료와의 커뮤니케이션 품질과 신속성 (0~6점)</t>
        </is>
      </c>
      <c r="E48" s="21" t="inlineStr">
        <is>
          <t>팀 내 협업 및 갈등 조율 기여도 (0~6점)</t>
        </is>
      </c>
      <c r="F48" s="21" t="inlineStr">
        <is>
          <t>지시받은 업무의 완결성과 정확도 (0~6점)</t>
        </is>
      </c>
      <c r="G48" s="21" t="inlineStr">
        <is>
          <t>팀/전사 차원의 부가적 기여 - 멘토링·지식공유 등 (0~6점)</t>
        </is>
      </c>
    </row>
    <row r="49" ht="22" customHeight="1">
      <c r="C49" s="63" t="inlineStr">
        <is>
          <t>점수
(6)</t>
        </is>
      </c>
      <c r="D49" s="63" t="inlineStr">
        <is>
          <t>점수
(6)</t>
        </is>
      </c>
      <c r="E49" s="63" t="inlineStr">
        <is>
          <t>점수
(6)</t>
        </is>
      </c>
      <c r="F49" s="63" t="inlineStr">
        <is>
          <t>점수
(6)</t>
        </is>
      </c>
      <c r="G49" s="63" t="inlineStr">
        <is>
          <t>점수
(6)</t>
        </is>
      </c>
    </row>
    <row r="50" ht="34" customHeight="1">
      <c r="A50" s="33">
        <f>IF(A6="","",A6)</f>
        <v/>
      </c>
      <c r="B50" s="19">
        <f>B6</f>
        <v/>
      </c>
      <c r="C50" s="61" t="inlineStr">
        <is>
          <t>리더의 역량평가는 상급자(경영진)가 별도로 평가합니다 — 본 시트에는 미기재</t>
        </is>
      </c>
      <c r="J50" s="32">
        <f>F6</f>
        <v/>
      </c>
      <c r="K50" s="20" t="inlineStr">
        <is>
          <t>해당없음</t>
        </is>
      </c>
      <c r="L50" s="61" t="inlineStr">
        <is>
          <t>리더 종합평가 = 결과지표(50) + 상급자 역량평가(30, 별도 산정) — 본 시트 자동계산 대상 아님</t>
        </is>
      </c>
      <c r="O50" s="64" t="n"/>
    </row>
    <row r="51">
      <c r="A51" s="33">
        <f>IF(A7="","",A7)</f>
        <v/>
      </c>
      <c r="B51" s="19">
        <f>B7</f>
        <v/>
      </c>
      <c r="C51" s="55" t="n">
        <v>6</v>
      </c>
      <c r="D51" s="55" t="n">
        <v>6</v>
      </c>
      <c r="E51" s="55" t="n">
        <v>6</v>
      </c>
      <c r="F51" s="55" t="n">
        <v>6</v>
      </c>
      <c r="G51" s="55" t="n">
        <v>6</v>
      </c>
      <c r="H51" s="32">
        <f>IF(A51="","",SUM(C51,D51,E51,F51,G51))</f>
        <v/>
      </c>
      <c r="I51" s="19">
        <f>IF(H51="","",_xlfn.IFS(H51&gt;=27,"S",H51&gt;=24,"A",H51&gt;=21,"B",H51&gt;=18,"C",TRUE,"D"))</f>
        <v/>
      </c>
      <c r="J51" s="32">
        <f>IF(A51="","",F7)</f>
        <v/>
      </c>
      <c r="K51" s="32">
        <f>IF(A51="","",R29)</f>
        <v/>
      </c>
      <c r="L51" s="32">
        <f>IF(A51="","",J51+K51+H51)</f>
        <v/>
      </c>
      <c r="M51" s="19">
        <f>IF(L51="","",_xlfn.IFS(L51&gt;=90,"S",L51&gt;=82,"A",L51&gt;=70,"B",L51&gt;=60,"C",TRUE,"D"))</f>
        <v/>
      </c>
      <c r="N51" s="33">
        <f>IF(M51="","",_xlfn.IFS(M51="S","특별성과급 (연봉의 15%) + 연봉 인상 10%",M51="A","성과급 (연봉의 10%) + 연봉 인상 7%",M51="B","연봉 인상 3% (물가인상률 보전)",M51="C","동결 (PIP 대상)",TRUE,"동결 (경고 및 보직조정)"))</f>
        <v/>
      </c>
      <c r="O51" s="51" t="n"/>
    </row>
    <row r="52">
      <c r="A52" s="33">
        <f>IF(A8="","",A8)</f>
        <v/>
      </c>
      <c r="B52" s="19">
        <f>B8</f>
        <v/>
      </c>
      <c r="C52" s="55" t="n">
        <v>6</v>
      </c>
      <c r="D52" s="55" t="n">
        <v>6</v>
      </c>
      <c r="E52" s="55" t="n">
        <v>6</v>
      </c>
      <c r="F52" s="55" t="n">
        <v>6</v>
      </c>
      <c r="G52" s="55" t="n">
        <v>6</v>
      </c>
      <c r="H52" s="32">
        <f>IF(A52="","",SUM(C52,D52,E52,F52,G52))</f>
        <v/>
      </c>
      <c r="I52" s="19">
        <f>IF(H52="","",_xlfn.IFS(H52&gt;=27,"S",H52&gt;=24,"A",H52&gt;=21,"B",H52&gt;=18,"C",TRUE,"D"))</f>
        <v/>
      </c>
      <c r="J52" s="32">
        <f>IF(A52="","",F8)</f>
        <v/>
      </c>
      <c r="K52" s="32">
        <f>IF(A52="","",R30)</f>
        <v/>
      </c>
      <c r="L52" s="32">
        <f>IF(A52="","",J52+K52+H52)</f>
        <v/>
      </c>
      <c r="M52" s="19">
        <f>IF(L52="","",_xlfn.IFS(L52&gt;=90,"S",L52&gt;=82,"A",L52&gt;=70,"B",L52&gt;=60,"C",TRUE,"D"))</f>
        <v/>
      </c>
      <c r="N52" s="33">
        <f>IF(M52="","",_xlfn.IFS(M52="S","특별성과급 (연봉의 15%) + 연봉 인상 10%",M52="A","성과급 (연봉의 10%) + 연봉 인상 7%",M52="B","연봉 인상 3% (물가인상률 보전)",M52="C","동결 (PIP 대상)",TRUE,"동결 (경고 및 보직조정)"))</f>
        <v/>
      </c>
      <c r="O52" s="51" t="n"/>
    </row>
    <row r="53">
      <c r="A53" s="33">
        <f>IF(A9="","",A9)</f>
        <v/>
      </c>
      <c r="B53" s="19">
        <f>B9</f>
        <v/>
      </c>
      <c r="C53" s="55" t="n">
        <v>6</v>
      </c>
      <c r="D53" s="55" t="n">
        <v>6</v>
      </c>
      <c r="E53" s="55" t="n">
        <v>6</v>
      </c>
      <c r="F53" s="55" t="n">
        <v>6</v>
      </c>
      <c r="G53" s="55" t="n">
        <v>6</v>
      </c>
      <c r="H53" s="32">
        <f>IF(A53="","",SUM(C53,D53,E53,F53,G53))</f>
        <v/>
      </c>
      <c r="I53" s="19">
        <f>IF(H53="","",_xlfn.IFS(H53&gt;=27,"S",H53&gt;=24,"A",H53&gt;=21,"B",H53&gt;=18,"C",TRUE,"D"))</f>
        <v/>
      </c>
      <c r="J53" s="32">
        <f>IF(A53="","",F9)</f>
        <v/>
      </c>
      <c r="K53" s="32">
        <f>IF(A53="","",R31)</f>
        <v/>
      </c>
      <c r="L53" s="32">
        <f>IF(A53="","",J53+K53+H53)</f>
        <v/>
      </c>
      <c r="M53" s="19">
        <f>IF(L53="","",_xlfn.IFS(L53&gt;=90,"S",L53&gt;=82,"A",L53&gt;=70,"B",L53&gt;=60,"C",TRUE,"D"))</f>
        <v/>
      </c>
      <c r="N53" s="33">
        <f>IF(M53="","",_xlfn.IFS(M53="S","특별성과급 (연봉의 15%) + 연봉 인상 10%",M53="A","성과급 (연봉의 10%) + 연봉 인상 7%",M53="B","연봉 인상 3% (물가인상률 보전)",M53="C","동결 (PIP 대상)",TRUE,"동결 (경고 및 보직조정)"))</f>
        <v/>
      </c>
      <c r="O53" s="51" t="n"/>
    </row>
    <row r="54">
      <c r="A54" s="33">
        <f>IF(A10="","",A10)</f>
        <v/>
      </c>
      <c r="B54" s="19">
        <f>B10</f>
        <v/>
      </c>
      <c r="C54" s="55" t="n">
        <v>6</v>
      </c>
      <c r="D54" s="55" t="n">
        <v>6</v>
      </c>
      <c r="E54" s="55" t="n">
        <v>6</v>
      </c>
      <c r="F54" s="55" t="n">
        <v>6</v>
      </c>
      <c r="G54" s="55" t="n">
        <v>6</v>
      </c>
      <c r="H54" s="32">
        <f>IF(A54="","",SUM(C54,D54,E54,F54,G54))</f>
        <v/>
      </c>
      <c r="I54" s="19">
        <f>IF(H54="","",_xlfn.IFS(H54&gt;=27,"S",H54&gt;=24,"A",H54&gt;=21,"B",H54&gt;=18,"C",TRUE,"D"))</f>
        <v/>
      </c>
      <c r="J54" s="32">
        <f>IF(A54="","",F10)</f>
        <v/>
      </c>
      <c r="K54" s="32">
        <f>IF(A54="","",R32)</f>
        <v/>
      </c>
      <c r="L54" s="32">
        <f>IF(A54="","",J54+K54+H54)</f>
        <v/>
      </c>
      <c r="M54" s="19">
        <f>IF(L54="","",_xlfn.IFS(L54&gt;=90,"S",L54&gt;=82,"A",L54&gt;=70,"B",L54&gt;=60,"C",TRUE,"D"))</f>
        <v/>
      </c>
      <c r="N54" s="33">
        <f>IF(M54="","",_xlfn.IFS(M54="S","특별성과급 (연봉의 15%) + 연봉 인상 10%",M54="A","성과급 (연봉의 10%) + 연봉 인상 7%",M54="B","연봉 인상 3% (물가인상률 보전)",M54="C","동결 (PIP 대상)",TRUE,"동결 (경고 및 보직조정)"))</f>
        <v/>
      </c>
      <c r="O54" s="51" t="n"/>
    </row>
    <row r="55">
      <c r="A55" s="33">
        <f>IF(A11="","",A11)</f>
        <v/>
      </c>
      <c r="B55" s="19">
        <f>B11</f>
        <v/>
      </c>
      <c r="C55" s="55" t="n">
        <v>5</v>
      </c>
      <c r="D55" s="55" t="n">
        <v>5</v>
      </c>
      <c r="E55" s="55" t="n">
        <v>5</v>
      </c>
      <c r="F55" s="55" t="n">
        <v>5</v>
      </c>
      <c r="G55" s="55" t="n">
        <v>5</v>
      </c>
      <c r="H55" s="32">
        <f>IF(A55="","",SUM(C55,D55,E55,F55,G55))</f>
        <v/>
      </c>
      <c r="I55" s="19">
        <f>IF(H55="","",_xlfn.IFS(H55&gt;=27,"S",H55&gt;=24,"A",H55&gt;=21,"B",H55&gt;=18,"C",TRUE,"D"))</f>
        <v/>
      </c>
      <c r="J55" s="32">
        <f>IF(A55="","",F11)</f>
        <v/>
      </c>
      <c r="K55" s="32">
        <f>IF(A55="","",R33)</f>
        <v/>
      </c>
      <c r="L55" s="32">
        <f>IF(A55="","",J55+K55+H55)</f>
        <v/>
      </c>
      <c r="M55" s="19">
        <f>IF(L55="","",_xlfn.IFS(L55&gt;=90,"S",L55&gt;=82,"A",L55&gt;=70,"B",L55&gt;=60,"C",TRUE,"D"))</f>
        <v/>
      </c>
      <c r="N55" s="33">
        <f>IF(M55="","",_xlfn.IFS(M55="S","특별성과급 (연봉의 15%) + 연봉 인상 10%",M55="A","성과급 (연봉의 10%) + 연봉 인상 7%",M55="B","연봉 인상 3% (물가인상률 보전)",M55="C","동결 (PIP 대상)",TRUE,"동결 (경고 및 보직조정)"))</f>
        <v/>
      </c>
      <c r="O55" s="51" t="n"/>
    </row>
    <row r="56">
      <c r="A56" s="33">
        <f>IF(A12="","",A12)</f>
        <v/>
      </c>
      <c r="B56" s="19">
        <f>B12</f>
        <v/>
      </c>
      <c r="C56" s="55" t="n">
        <v>5</v>
      </c>
      <c r="D56" s="55" t="n">
        <v>5</v>
      </c>
      <c r="E56" s="55" t="n">
        <v>5</v>
      </c>
      <c r="F56" s="55" t="n">
        <v>5</v>
      </c>
      <c r="G56" s="55" t="n">
        <v>5</v>
      </c>
      <c r="H56" s="32">
        <f>IF(A56="","",SUM(C56,D56,E56,F56,G56))</f>
        <v/>
      </c>
      <c r="I56" s="19">
        <f>IF(H56="","",_xlfn.IFS(H56&gt;=27,"S",H56&gt;=24,"A",H56&gt;=21,"B",H56&gt;=18,"C",TRUE,"D"))</f>
        <v/>
      </c>
      <c r="J56" s="32">
        <f>IF(A56="","",F12)</f>
        <v/>
      </c>
      <c r="K56" s="32">
        <f>IF(A56="","",R34)</f>
        <v/>
      </c>
      <c r="L56" s="32">
        <f>IF(A56="","",J56+K56+H56)</f>
        <v/>
      </c>
      <c r="M56" s="19">
        <f>IF(L56="","",_xlfn.IFS(L56&gt;=90,"S",L56&gt;=82,"A",L56&gt;=70,"B",L56&gt;=60,"C",TRUE,"D"))</f>
        <v/>
      </c>
      <c r="N56" s="33">
        <f>IF(M56="","",_xlfn.IFS(M56="S","특별성과급 (연봉의 15%) + 연봉 인상 10%",M56="A","성과급 (연봉의 10%) + 연봉 인상 7%",M56="B","연봉 인상 3% (물가인상률 보전)",M56="C","동결 (PIP 대상)",TRUE,"동결 (경고 및 보직조정)"))</f>
        <v/>
      </c>
      <c r="O56" s="51" t="n"/>
    </row>
    <row r="57">
      <c r="A57" s="33">
        <f>IF(A13="","",A13)</f>
        <v/>
      </c>
      <c r="B57" s="19">
        <f>B13</f>
        <v/>
      </c>
      <c r="C57" s="55" t="n">
        <v>4</v>
      </c>
      <c r="D57" s="55" t="n">
        <v>4</v>
      </c>
      <c r="E57" s="55" t="n">
        <v>4</v>
      </c>
      <c r="F57" s="55" t="n">
        <v>4</v>
      </c>
      <c r="G57" s="55" t="n">
        <v>4</v>
      </c>
      <c r="H57" s="32">
        <f>IF(A57="","",SUM(C57,D57,E57,F57,G57))</f>
        <v/>
      </c>
      <c r="I57" s="19">
        <f>IF(H57="","",_xlfn.IFS(H57&gt;=27,"S",H57&gt;=24,"A",H57&gt;=21,"B",H57&gt;=18,"C",TRUE,"D"))</f>
        <v/>
      </c>
      <c r="J57" s="32">
        <f>IF(A57="","",F13)</f>
        <v/>
      </c>
      <c r="K57" s="32">
        <f>IF(A57="","",R35)</f>
        <v/>
      </c>
      <c r="L57" s="32">
        <f>IF(A57="","",J57+K57+H57)</f>
        <v/>
      </c>
      <c r="M57" s="19">
        <f>IF(L57="","",_xlfn.IFS(L57&gt;=90,"S",L57&gt;=82,"A",L57&gt;=70,"B",L57&gt;=60,"C",TRUE,"D"))</f>
        <v/>
      </c>
      <c r="N57" s="33">
        <f>IF(M57="","",_xlfn.IFS(M57="S","특별성과급 (연봉의 15%) + 연봉 인상 10%",M57="A","성과급 (연봉의 10%) + 연봉 인상 7%",M57="B","연봉 인상 3% (물가인상률 보전)",M57="C","동결 (PIP 대상)",TRUE,"동결 (경고 및 보직조정)"))</f>
        <v/>
      </c>
      <c r="O57" s="51" t="n"/>
    </row>
    <row r="58">
      <c r="A58" s="33">
        <f>IF(A14="","",A14)</f>
        <v/>
      </c>
      <c r="B58" s="19">
        <f>B14</f>
        <v/>
      </c>
      <c r="C58" s="55" t="n">
        <v>4</v>
      </c>
      <c r="D58" s="55" t="n">
        <v>4</v>
      </c>
      <c r="E58" s="55" t="n">
        <v>4</v>
      </c>
      <c r="F58" s="55" t="n">
        <v>4</v>
      </c>
      <c r="G58" s="55" t="n">
        <v>4</v>
      </c>
      <c r="H58" s="32">
        <f>IF(A58="","",SUM(C58,D58,E58,F58,G58))</f>
        <v/>
      </c>
      <c r="I58" s="19">
        <f>IF(H58="","",_xlfn.IFS(H58&gt;=27,"S",H58&gt;=24,"A",H58&gt;=21,"B",H58&gt;=18,"C",TRUE,"D"))</f>
        <v/>
      </c>
      <c r="J58" s="32">
        <f>IF(A58="","",F14)</f>
        <v/>
      </c>
      <c r="K58" s="32">
        <f>IF(A58="","",R36)</f>
        <v/>
      </c>
      <c r="L58" s="32">
        <f>IF(A58="","",J58+K58+H58)</f>
        <v/>
      </c>
      <c r="M58" s="19">
        <f>IF(L58="","",_xlfn.IFS(L58&gt;=90,"S",L58&gt;=82,"A",L58&gt;=70,"B",L58&gt;=60,"C",TRUE,"D"))</f>
        <v/>
      </c>
      <c r="N58" s="33">
        <f>IF(M58="","",_xlfn.IFS(M58="S","특별성과급 (연봉의 15%) + 연봉 인상 10%",M58="A","성과급 (연봉의 10%) + 연봉 인상 7%",M58="B","연봉 인상 3% (물가인상률 보전)",M58="C","동결 (PIP 대상)",TRUE,"동결 (경고 및 보직조정)"))</f>
        <v/>
      </c>
      <c r="O58" s="51" t="n"/>
    </row>
    <row r="59">
      <c r="A59" s="33">
        <f>IF(A15="","",A15)</f>
        <v/>
      </c>
      <c r="B59" s="19">
        <f>B15</f>
        <v/>
      </c>
      <c r="C59" s="55" t="n">
        <v>3</v>
      </c>
      <c r="D59" s="55" t="n">
        <v>3</v>
      </c>
      <c r="E59" s="55" t="n">
        <v>3</v>
      </c>
      <c r="F59" s="55" t="n">
        <v>3</v>
      </c>
      <c r="G59" s="55" t="n">
        <v>3</v>
      </c>
      <c r="H59" s="32">
        <f>IF(A59="","",SUM(C59,D59,E59,F59,G59))</f>
        <v/>
      </c>
      <c r="I59" s="19">
        <f>IF(H59="","",_xlfn.IFS(H59&gt;=27,"S",H59&gt;=24,"A",H59&gt;=21,"B",H59&gt;=18,"C",TRUE,"D"))</f>
        <v/>
      </c>
      <c r="J59" s="32">
        <f>IF(A59="","",F15)</f>
        <v/>
      </c>
      <c r="K59" s="32">
        <f>IF(A59="","",R37)</f>
        <v/>
      </c>
      <c r="L59" s="32">
        <f>IF(A59="","",J59+K59+H59)</f>
        <v/>
      </c>
      <c r="M59" s="19">
        <f>IF(L59="","",_xlfn.IFS(L59&gt;=90,"S",L59&gt;=82,"A",L59&gt;=70,"B",L59&gt;=60,"C",TRUE,"D"))</f>
        <v/>
      </c>
      <c r="N59" s="33">
        <f>IF(M59="","",_xlfn.IFS(M59="S","특별성과급 (연봉의 15%) + 연봉 인상 10%",M59="A","성과급 (연봉의 10%) + 연봉 인상 7%",M59="B","연봉 인상 3% (물가인상률 보전)",M59="C","동결 (PIP 대상)",TRUE,"동결 (경고 및 보직조정)"))</f>
        <v/>
      </c>
      <c r="O59" s="51" t="n"/>
    </row>
    <row r="60">
      <c r="A60" s="33">
        <f>IF(A16="","",A16)</f>
        <v/>
      </c>
      <c r="B60" s="19">
        <f>B16</f>
        <v/>
      </c>
      <c r="C60" s="55" t="n">
        <v>2</v>
      </c>
      <c r="D60" s="55" t="n">
        <v>2</v>
      </c>
      <c r="E60" s="55" t="n">
        <v>2</v>
      </c>
      <c r="F60" s="55" t="n">
        <v>2</v>
      </c>
      <c r="G60" s="55" t="n">
        <v>2</v>
      </c>
      <c r="H60" s="32">
        <f>IF(A60="","",SUM(C60,D60,E60,F60,G60))</f>
        <v/>
      </c>
      <c r="I60" s="19">
        <f>IF(H60="","",_xlfn.IFS(H60&gt;=27,"S",H60&gt;=24,"A",H60&gt;=21,"B",H60&gt;=18,"C",TRUE,"D"))</f>
        <v/>
      </c>
      <c r="J60" s="32">
        <f>IF(A60="","",F16)</f>
        <v/>
      </c>
      <c r="K60" s="32">
        <f>IF(A60="","",R38)</f>
        <v/>
      </c>
      <c r="L60" s="32">
        <f>IF(A60="","",J60+K60+H60)</f>
        <v/>
      </c>
      <c r="M60" s="19">
        <f>IF(L60="","",_xlfn.IFS(L60&gt;=90,"S",L60&gt;=82,"A",L60&gt;=70,"B",L60&gt;=60,"C",TRUE,"D"))</f>
        <v/>
      </c>
      <c r="N60" s="33">
        <f>IF(M60="","",_xlfn.IFS(M60="S","특별성과급 (연봉의 15%) + 연봉 인상 10%",M60="A","성과급 (연봉의 10%) + 연봉 인상 7%",M60="B","연봉 인상 3% (물가인상률 보전)",M60="C","동결 (PIP 대상)",TRUE,"동결 (경고 및 보직조정)"))</f>
        <v/>
      </c>
      <c r="O60" s="51" t="n"/>
    </row>
    <row r="61">
      <c r="A61" s="33">
        <f>IF(A17="","",A17)</f>
        <v/>
      </c>
      <c r="B61" s="19">
        <f>B17</f>
        <v/>
      </c>
      <c r="C61" s="55" t="n"/>
      <c r="D61" s="55" t="n"/>
      <c r="E61" s="55" t="n"/>
      <c r="F61" s="55" t="n"/>
      <c r="G61" s="55" t="n"/>
      <c r="H61" s="32">
        <f>IF(A61="","",SUM(C61,D61,E61,F61,G61))</f>
        <v/>
      </c>
      <c r="I61" s="19">
        <f>IF(H61="","",_xlfn.IFS(H61&gt;=27,"S",H61&gt;=24,"A",H61&gt;=21,"B",H61&gt;=18,"C",TRUE,"D"))</f>
        <v/>
      </c>
      <c r="J61" s="32">
        <f>IF(A61="","",F17)</f>
        <v/>
      </c>
      <c r="K61" s="32">
        <f>IF(A61="","",R39)</f>
        <v/>
      </c>
      <c r="L61" s="32">
        <f>IF(A61="","",J61+K61+H61)</f>
        <v/>
      </c>
      <c r="M61" s="19">
        <f>IF(L61="","",_xlfn.IFS(L61&gt;=90,"S",L61&gt;=82,"A",L61&gt;=70,"B",L61&gt;=60,"C",TRUE,"D"))</f>
        <v/>
      </c>
      <c r="N61" s="33">
        <f>IF(M61="","",_xlfn.IFS(M61="S","특별성과급 (연봉의 15%) + 연봉 인상 10%",M61="A","성과급 (연봉의 10%) + 연봉 인상 7%",M61="B","연봉 인상 3% (물가인상률 보전)",M61="C","동결 (PIP 대상)",TRUE,"동결 (경고 및 보직조정)"))</f>
        <v/>
      </c>
      <c r="O61" s="51" t="n"/>
    </row>
    <row r="62">
      <c r="A62" s="33">
        <f>IF(A18="","",A18)</f>
        <v/>
      </c>
      <c r="B62" s="19">
        <f>B18</f>
        <v/>
      </c>
      <c r="C62" s="55" t="n"/>
      <c r="D62" s="55" t="n"/>
      <c r="E62" s="55" t="n"/>
      <c r="F62" s="55" t="n"/>
      <c r="G62" s="55" t="n"/>
      <c r="H62" s="32">
        <f>IF(A62="","",SUM(C62,D62,E62,F62,G62))</f>
        <v/>
      </c>
      <c r="I62" s="19">
        <f>IF(H62="","",_xlfn.IFS(H62&gt;=27,"S",H62&gt;=24,"A",H62&gt;=21,"B",H62&gt;=18,"C",TRUE,"D"))</f>
        <v/>
      </c>
      <c r="J62" s="32">
        <f>IF(A62="","",F18)</f>
        <v/>
      </c>
      <c r="K62" s="32">
        <f>IF(A62="","",R40)</f>
        <v/>
      </c>
      <c r="L62" s="32">
        <f>IF(A62="","",J62+K62+H62)</f>
        <v/>
      </c>
      <c r="M62" s="19">
        <f>IF(L62="","",_xlfn.IFS(L62&gt;=90,"S",L62&gt;=82,"A",L62&gt;=70,"B",L62&gt;=60,"C",TRUE,"D"))</f>
        <v/>
      </c>
      <c r="N62" s="33">
        <f>IF(M62="","",_xlfn.IFS(M62="S","특별성과급 (연봉의 15%) + 연봉 인상 10%",M62="A","성과급 (연봉의 10%) + 연봉 인상 7%",M62="B","연봉 인상 3% (물가인상률 보전)",M62="C","동결 (PIP 대상)",TRUE,"동결 (경고 및 보직조정)"))</f>
        <v/>
      </c>
      <c r="O62" s="51" t="n"/>
    </row>
    <row r="63">
      <c r="A63" s="33">
        <f>IF(A19="","",A19)</f>
        <v/>
      </c>
      <c r="B63" s="19">
        <f>B19</f>
        <v/>
      </c>
      <c r="C63" s="55" t="n"/>
      <c r="D63" s="55" t="n"/>
      <c r="E63" s="55" t="n"/>
      <c r="F63" s="55" t="n"/>
      <c r="G63" s="55" t="n"/>
      <c r="H63" s="32">
        <f>IF(A63="","",SUM(C63,D63,E63,F63,G63))</f>
        <v/>
      </c>
      <c r="I63" s="19">
        <f>IF(H63="","",_xlfn.IFS(H63&gt;=27,"S",H63&gt;=24,"A",H63&gt;=21,"B",H63&gt;=18,"C",TRUE,"D"))</f>
        <v/>
      </c>
      <c r="J63" s="32">
        <f>IF(A63="","",F19)</f>
        <v/>
      </c>
      <c r="K63" s="32">
        <f>IF(A63="","",R41)</f>
        <v/>
      </c>
      <c r="L63" s="32">
        <f>IF(A63="","",J63+K63+H63)</f>
        <v/>
      </c>
      <c r="M63" s="19">
        <f>IF(L63="","",_xlfn.IFS(L63&gt;=90,"S",L63&gt;=82,"A",L63&gt;=70,"B",L63&gt;=60,"C",TRUE,"D"))</f>
        <v/>
      </c>
      <c r="N63" s="33">
        <f>IF(M63="","",_xlfn.IFS(M63="S","특별성과급 (연봉의 15%) + 연봉 인상 10%",M63="A","성과급 (연봉의 10%) + 연봉 인상 7%",M63="B","연봉 인상 3% (물가인상률 보전)",M63="C","동결 (PIP 대상)",TRUE,"동결 (경고 및 보직조정)"))</f>
        <v/>
      </c>
      <c r="O63" s="51" t="n"/>
    </row>
    <row r="64">
      <c r="A64" s="33">
        <f>IF(A20="","",A20)</f>
        <v/>
      </c>
      <c r="B64" s="19">
        <f>B20</f>
        <v/>
      </c>
      <c r="C64" s="55" t="n"/>
      <c r="D64" s="55" t="n"/>
      <c r="E64" s="55" t="n"/>
      <c r="F64" s="55" t="n"/>
      <c r="G64" s="55" t="n"/>
      <c r="H64" s="32">
        <f>IF(A64="","",SUM(C64,D64,E64,F64,G64))</f>
        <v/>
      </c>
      <c r="I64" s="19">
        <f>IF(H64="","",_xlfn.IFS(H64&gt;=27,"S",H64&gt;=24,"A",H64&gt;=21,"B",H64&gt;=18,"C",TRUE,"D"))</f>
        <v/>
      </c>
      <c r="J64" s="32">
        <f>IF(A64="","",F20)</f>
        <v/>
      </c>
      <c r="K64" s="32">
        <f>IF(A64="","",R42)</f>
        <v/>
      </c>
      <c r="L64" s="32">
        <f>IF(A64="","",J64+K64+H64)</f>
        <v/>
      </c>
      <c r="M64" s="19">
        <f>IF(L64="","",_xlfn.IFS(L64&gt;=90,"S",L64&gt;=82,"A",L64&gt;=70,"B",L64&gt;=60,"C",TRUE,"D"))</f>
        <v/>
      </c>
      <c r="N64" s="33">
        <f>IF(M64="","",_xlfn.IFS(M64="S","특별성과급 (연봉의 15%) + 연봉 인상 10%",M64="A","성과급 (연봉의 10%) + 연봉 인상 7%",M64="B","연봉 인상 3% (물가인상률 보전)",M64="C","동결 (PIP 대상)",TRUE,"동결 (경고 및 보직조정)"))</f>
        <v/>
      </c>
      <c r="O64" s="51" t="n"/>
    </row>
    <row r="65">
      <c r="A65" s="33">
        <f>IF(A21="","",A21)</f>
        <v/>
      </c>
      <c r="B65" s="19">
        <f>B21</f>
        <v/>
      </c>
      <c r="C65" s="55" t="n"/>
      <c r="D65" s="55" t="n"/>
      <c r="E65" s="55" t="n"/>
      <c r="F65" s="55" t="n"/>
      <c r="G65" s="55" t="n"/>
      <c r="H65" s="32">
        <f>IF(A65="","",SUM(C65,D65,E65,F65,G65))</f>
        <v/>
      </c>
      <c r="I65" s="19">
        <f>IF(H65="","",_xlfn.IFS(H65&gt;=27,"S",H65&gt;=24,"A",H65&gt;=21,"B",H65&gt;=18,"C",TRUE,"D"))</f>
        <v/>
      </c>
      <c r="J65" s="32">
        <f>IF(A65="","",F21)</f>
        <v/>
      </c>
      <c r="K65" s="32">
        <f>IF(A65="","",R43)</f>
        <v/>
      </c>
      <c r="L65" s="32">
        <f>IF(A65="","",J65+K65+H65)</f>
        <v/>
      </c>
      <c r="M65" s="19">
        <f>IF(L65="","",_xlfn.IFS(L65&gt;=90,"S",L65&gt;=82,"A",L65&gt;=70,"B",L65&gt;=60,"C",TRUE,"D"))</f>
        <v/>
      </c>
      <c r="N65" s="33">
        <f>IF(M65="","",_xlfn.IFS(M65="S","특별성과급 (연봉의 15%) + 연봉 인상 10%",M65="A","성과급 (연봉의 10%) + 연봉 인상 7%",M65="B","연봉 인상 3% (물가인상률 보전)",M65="C","동결 (PIP 대상)",TRUE,"동결 (경고 및 보직조정)"))</f>
        <v/>
      </c>
      <c r="O65" s="51" t="n"/>
    </row>
    <row r="66">
      <c r="A66" s="10" t="inlineStr">
        <is>
          <t>팀 평균 / 합계</t>
        </is>
      </c>
      <c r="C66" s="62" t="n"/>
      <c r="D66" s="62" t="n"/>
      <c r="E66" s="62" t="n"/>
      <c r="F66" s="62" t="n"/>
      <c r="G66" s="62" t="n"/>
      <c r="H66" s="34">
        <f>AVERAGE(H51:H65)</f>
        <v/>
      </c>
      <c r="I66" s="10" t="inlineStr">
        <is>
          <t>-</t>
        </is>
      </c>
      <c r="J66" s="34">
        <f>F6</f>
        <v/>
      </c>
      <c r="K66" s="34">
        <f>AVERAGE(K51:K65)</f>
        <v/>
      </c>
      <c r="L66" s="34">
        <f>AVERAGE(L51:L65)</f>
        <v/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</row>
  </sheetData>
  <mergeCells count="42">
    <mergeCell ref="L50:O50"/>
    <mergeCell ref="E1:S1"/>
    <mergeCell ref="A46:I46"/>
    <mergeCell ref="O26:Q26"/>
    <mergeCell ref="A4:G4"/>
    <mergeCell ref="J47:J49"/>
    <mergeCell ref="F26:H26"/>
    <mergeCell ref="A47:A49"/>
    <mergeCell ref="M47:M49"/>
    <mergeCell ref="G47"/>
    <mergeCell ref="O25:Q25"/>
    <mergeCell ref="L26:N26"/>
    <mergeCell ref="H47:H49"/>
    <mergeCell ref="L25:N25"/>
    <mergeCell ref="E47"/>
    <mergeCell ref="A66:B66"/>
    <mergeCell ref="B25:B27"/>
    <mergeCell ref="S25:S27"/>
    <mergeCell ref="B47:B49"/>
    <mergeCell ref="A24:S24"/>
    <mergeCell ref="J46:O46"/>
    <mergeCell ref="A1:D1"/>
    <mergeCell ref="L47:L49"/>
    <mergeCell ref="N47:N49"/>
    <mergeCell ref="I47:I49"/>
    <mergeCell ref="R25:R27"/>
    <mergeCell ref="C47"/>
    <mergeCell ref="A22:B22"/>
    <mergeCell ref="F25:H25"/>
    <mergeCell ref="C50:I50"/>
    <mergeCell ref="A25:A27"/>
    <mergeCell ref="K47:K49"/>
    <mergeCell ref="D47"/>
    <mergeCell ref="C26:E26"/>
    <mergeCell ref="I26:K26"/>
    <mergeCell ref="A44:B44"/>
    <mergeCell ref="F47"/>
    <mergeCell ref="O47:O49"/>
    <mergeCell ref="C28:S28"/>
    <mergeCell ref="A2:S2"/>
    <mergeCell ref="C25:E25"/>
    <mergeCell ref="I25:K25"/>
  </mergeCells>
  <conditionalFormatting sqref="G6:G2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S29:S43">
    <cfRule type="cellIs" priority="6" operator="equal" dxfId="0">
      <formula>"S"</formula>
    </cfRule>
    <cfRule type="cellIs" priority="7" operator="equal" dxfId="1">
      <formula>"A"</formula>
    </cfRule>
    <cfRule type="cellIs" priority="8" operator="equal" dxfId="2">
      <formula>"B"</formula>
    </cfRule>
    <cfRule type="cellIs" priority="9" operator="equal" dxfId="3">
      <formula>"C"</formula>
    </cfRule>
    <cfRule type="cellIs" priority="10" operator="equal" dxfId="4">
      <formula>"D"</formula>
    </cfRule>
  </conditionalFormatting>
  <conditionalFormatting sqref="I51:I65">
    <cfRule type="cellIs" priority="11" operator="equal" dxfId="0">
      <formula>"S"</formula>
    </cfRule>
    <cfRule type="cellIs" priority="12" operator="equal" dxfId="1">
      <formula>"A"</formula>
    </cfRule>
    <cfRule type="cellIs" priority="13" operator="equal" dxfId="2">
      <formula>"B"</formula>
    </cfRule>
    <cfRule type="cellIs" priority="14" operator="equal" dxfId="3">
      <formula>"C"</formula>
    </cfRule>
    <cfRule type="cellIs" priority="15" operator="equal" dxfId="4">
      <formula>"D"</formula>
    </cfRule>
  </conditionalFormatting>
  <conditionalFormatting sqref="M51:M65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"B"</formula>
    </cfRule>
    <cfRule type="cellIs" priority="19" operator="equal" dxfId="3">
      <formula>"C"</formula>
    </cfRule>
    <cfRule type="cellIs" priority="20" operator="equal" dxfId="4">
      <formula>"D"</formula>
    </cfRule>
  </conditionalFormatting>
  <dataValidations count="3">
    <dataValidation sqref="C7:C21 D7:D21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29:D43 F29:G43 I29:J43 L29:M43 O29:P43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51:G65" showDropDown="0" showInputMessage="0" showErrorMessage="0" allowBlank="0" errorTitle="점수 범위 오류" error="0~6 사이의 정수로 입력해주세요." type="whole" operator="between">
      <formula1>0</formula1>
      <formula2>6</formula2>
    </dataValidation>
  </dataValidation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26" customWidth="1" min="14" max="14"/>
    <col width="18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25" t="inlineStr">
        <is>
          <t>🏠 사용안내로 이동</t>
        </is>
      </c>
      <c r="E1" s="25" t="inlineStr">
        <is>
          <t>📊 전사 종합요약 보기</t>
        </is>
      </c>
    </row>
    <row r="2" ht="46" customHeight="1">
      <c r="A2" s="24" t="inlineStr">
        <is>
          <t>PB (Product Build) — 제품을 구현한다   |   ✏️ 이 시트는 잠금이 해제되어 모든 셀을 수정할 수 있습니다. 노란 셀=입력용, 회색 셀=자동계산 수식, 하늘색 셀=고정 항목이니 참고해서 편집하세요. ①결과지표 ②개별성과 ③역량평가+종합 표가 위에서 아래로 나열되어 있으며, 이름·직책은 ①표에 입력하면 ②③표에 자동으로 채워집니다(직접 고쳐도 되지만 그러면 자동연동이 끊깁니다).</t>
        </is>
      </c>
    </row>
    <row r="4">
      <c r="A4" s="4" t="inlineStr">
        <is>
          <t>① 결과지표 · 팀 공동 (50점)</t>
        </is>
      </c>
    </row>
    <row r="5" ht="24" customHeight="1">
      <c r="A5" s="4" t="inlineStr">
        <is>
          <t>이름</t>
        </is>
      </c>
      <c r="B5" s="4" t="inlineStr">
        <is>
          <t>직책</t>
        </is>
      </c>
      <c r="C5" s="4" t="inlineStr">
        <is>
          <t>실적</t>
        </is>
      </c>
      <c r="D5" s="4" t="inlineStr">
        <is>
          <t>목표</t>
        </is>
      </c>
      <c r="E5" s="4" t="inlineStr">
        <is>
          <t>달성률</t>
        </is>
      </c>
      <c r="F5" s="4" t="inlineStr">
        <is>
          <t>점수
(50)</t>
        </is>
      </c>
      <c r="G5" s="4" t="inlineStr">
        <is>
          <t>등급</t>
        </is>
      </c>
    </row>
    <row r="6">
      <c r="A6" s="51" t="inlineStr">
        <is>
          <t>장금이(예시)</t>
        </is>
      </c>
      <c r="B6" s="52" t="inlineStr">
        <is>
          <t>팀리더</t>
        </is>
      </c>
      <c r="C6" s="40">
        <f>SUM(C7:C21)</f>
        <v/>
      </c>
      <c r="D6" s="53" t="n">
        <v>12</v>
      </c>
      <c r="E6" s="54">
        <f>IF(D6=0,"",C6/D6)</f>
        <v/>
      </c>
      <c r="F6" s="32">
        <f>IF(E6="","",MIN(E6*50,50))</f>
        <v/>
      </c>
      <c r="G6" s="19">
        <f>IF(F6="","",_xlfn.IFS(F6&gt;=48,"S",F6&gt;=45,"A",F6&gt;=42,"B",F6&gt;=38,"C",TRUE,"D"))</f>
        <v/>
      </c>
    </row>
    <row r="7">
      <c r="A7" s="51" t="inlineStr">
        <is>
          <t>임도경(예시)</t>
        </is>
      </c>
      <c r="B7" s="19" t="inlineStr">
        <is>
          <t>팀원</t>
        </is>
      </c>
      <c r="C7" s="55" t="n">
        <v>5</v>
      </c>
      <c r="D7" s="55" t="n">
        <v>5</v>
      </c>
      <c r="E7" s="54">
        <f>IF(OR(A7="",D7=""),"",C7/D7)</f>
        <v/>
      </c>
      <c r="F7" s="32">
        <f>IF(A7="","",F6)</f>
        <v/>
      </c>
      <c r="G7" s="19">
        <f>IF(A7="","",G6)</f>
        <v/>
      </c>
    </row>
    <row r="8">
      <c r="A8" s="51" t="inlineStr">
        <is>
          <t>신유나(예시)</t>
        </is>
      </c>
      <c r="B8" s="19" t="inlineStr">
        <is>
          <t>팀원</t>
        </is>
      </c>
      <c r="C8" s="55" t="n">
        <v>4</v>
      </c>
      <c r="D8" s="55" t="n">
        <v>5</v>
      </c>
      <c r="E8" s="54">
        <f>IF(OR(A8="",D8=""),"",C8/D8)</f>
        <v/>
      </c>
      <c r="F8" s="32">
        <f>IF(A8="","",F6)</f>
        <v/>
      </c>
      <c r="G8" s="19">
        <f>IF(A8="","",G6)</f>
        <v/>
      </c>
    </row>
    <row r="9">
      <c r="A9" s="51" t="inlineStr">
        <is>
          <t>곽태호(예시)</t>
        </is>
      </c>
      <c r="B9" s="19" t="inlineStr">
        <is>
          <t>팀원</t>
        </is>
      </c>
      <c r="C9" s="55" t="n">
        <v>4</v>
      </c>
      <c r="D9" s="55" t="n">
        <v>5</v>
      </c>
      <c r="E9" s="54">
        <f>IF(OR(A9="",D9=""),"",C9/D9)</f>
        <v/>
      </c>
      <c r="F9" s="32">
        <f>IF(A9="","",F6)</f>
        <v/>
      </c>
      <c r="G9" s="19">
        <f>IF(A9="","",G6)</f>
        <v/>
      </c>
    </row>
    <row r="10">
      <c r="A10" s="51" t="inlineStr">
        <is>
          <t>백마리(예시)</t>
        </is>
      </c>
      <c r="B10" s="19" t="inlineStr">
        <is>
          <t>팀원</t>
        </is>
      </c>
      <c r="C10" s="55" t="n">
        <v>4</v>
      </c>
      <c r="D10" s="55" t="n">
        <v>5</v>
      </c>
      <c r="E10" s="54">
        <f>IF(OR(A10="",D10=""),"",C10/D10)</f>
        <v/>
      </c>
      <c r="F10" s="32">
        <f>IF(A10="","",F6)</f>
        <v/>
      </c>
      <c r="G10" s="19">
        <f>IF(A10="","",G6)</f>
        <v/>
      </c>
    </row>
    <row r="11">
      <c r="A11" s="51" t="inlineStr">
        <is>
          <t>노준서(예시)</t>
        </is>
      </c>
      <c r="B11" s="19" t="inlineStr">
        <is>
          <t>팀원</t>
        </is>
      </c>
      <c r="C11" s="55" t="n">
        <v>3</v>
      </c>
      <c r="D11" s="55" t="n">
        <v>5</v>
      </c>
      <c r="E11" s="54">
        <f>IF(OR(A11="",D11=""),"",C11/D11)</f>
        <v/>
      </c>
      <c r="F11" s="32">
        <f>IF(A11="","",F6)</f>
        <v/>
      </c>
      <c r="G11" s="19">
        <f>IF(A11="","",G6)</f>
        <v/>
      </c>
    </row>
    <row r="12">
      <c r="A12" s="51" t="inlineStr">
        <is>
          <t>정하람(예시)</t>
        </is>
      </c>
      <c r="B12" s="19" t="inlineStr">
        <is>
          <t>팀원</t>
        </is>
      </c>
      <c r="C12" s="55" t="n">
        <v>3</v>
      </c>
      <c r="D12" s="55" t="n">
        <v>5</v>
      </c>
      <c r="E12" s="54">
        <f>IF(OR(A12="",D12=""),"",C12/D12)</f>
        <v/>
      </c>
      <c r="F12" s="32">
        <f>IF(A12="","",F6)</f>
        <v/>
      </c>
      <c r="G12" s="19">
        <f>IF(A12="","",G6)</f>
        <v/>
      </c>
    </row>
    <row r="13">
      <c r="A13" s="51" t="inlineStr">
        <is>
          <t>이시율(예시)</t>
        </is>
      </c>
      <c r="B13" s="19" t="inlineStr">
        <is>
          <t>팀원</t>
        </is>
      </c>
      <c r="C13" s="55" t="n">
        <v>3</v>
      </c>
      <c r="D13" s="55" t="n">
        <v>5</v>
      </c>
      <c r="E13" s="54">
        <f>IF(OR(A13="",D13=""),"",C13/D13)</f>
        <v/>
      </c>
      <c r="F13" s="32">
        <f>IF(A13="","",F6)</f>
        <v/>
      </c>
      <c r="G13" s="19">
        <f>IF(A13="","",G6)</f>
        <v/>
      </c>
    </row>
    <row r="14">
      <c r="A14" s="51" t="inlineStr">
        <is>
          <t>박지완(예시)</t>
        </is>
      </c>
      <c r="B14" s="19" t="inlineStr">
        <is>
          <t>팀원</t>
        </is>
      </c>
      <c r="C14" s="55" t="n">
        <v>2</v>
      </c>
      <c r="D14" s="55" t="n">
        <v>5</v>
      </c>
      <c r="E14" s="54">
        <f>IF(OR(A14="",D14=""),"",C14/D14)</f>
        <v/>
      </c>
      <c r="F14" s="32">
        <f>IF(A14="","",F6)</f>
        <v/>
      </c>
      <c r="G14" s="19">
        <f>IF(A14="","",G6)</f>
        <v/>
      </c>
    </row>
    <row r="15">
      <c r="A15" s="51" t="inlineStr">
        <is>
          <t>최다인(예시)</t>
        </is>
      </c>
      <c r="B15" s="19" t="inlineStr">
        <is>
          <t>팀원</t>
        </is>
      </c>
      <c r="C15" s="55" t="n">
        <v>2</v>
      </c>
      <c r="D15" s="55" t="n">
        <v>5</v>
      </c>
      <c r="E15" s="54">
        <f>IF(OR(A15="",D15=""),"",C15/D15)</f>
        <v/>
      </c>
      <c r="F15" s="32">
        <f>IF(A15="","",F6)</f>
        <v/>
      </c>
      <c r="G15" s="19">
        <f>IF(A15="","",G6)</f>
        <v/>
      </c>
    </row>
    <row r="16">
      <c r="A16" s="51" t="inlineStr">
        <is>
          <t>김리안(예시)</t>
        </is>
      </c>
      <c r="B16" s="19" t="inlineStr">
        <is>
          <t>팀원</t>
        </is>
      </c>
      <c r="C16" s="55" t="n">
        <v>1</v>
      </c>
      <c r="D16" s="55" t="n">
        <v>5</v>
      </c>
      <c r="E16" s="54">
        <f>IF(OR(A16="",D16=""),"",C16/D16)</f>
        <v/>
      </c>
      <c r="F16" s="32">
        <f>IF(A16="","",F6)</f>
        <v/>
      </c>
      <c r="G16" s="19">
        <f>IF(A16="","",G6)</f>
        <v/>
      </c>
    </row>
    <row r="17">
      <c r="A17" s="51" t="n"/>
      <c r="B17" s="19" t="inlineStr">
        <is>
          <t>팀원</t>
        </is>
      </c>
      <c r="C17" s="55" t="n"/>
      <c r="D17" s="55" t="n"/>
      <c r="E17" s="54">
        <f>IF(OR(A17="",D17=""),"",C17/D17)</f>
        <v/>
      </c>
      <c r="F17" s="32">
        <f>IF(A17="","",F6)</f>
        <v/>
      </c>
      <c r="G17" s="19">
        <f>IF(A17="","",G6)</f>
        <v/>
      </c>
    </row>
    <row r="18">
      <c r="A18" s="51" t="n"/>
      <c r="B18" s="19" t="inlineStr">
        <is>
          <t>팀원</t>
        </is>
      </c>
      <c r="C18" s="55" t="n"/>
      <c r="D18" s="55" t="n"/>
      <c r="E18" s="54">
        <f>IF(OR(A18="",D18=""),"",C18/D18)</f>
        <v/>
      </c>
      <c r="F18" s="32">
        <f>IF(A18="","",F6)</f>
        <v/>
      </c>
      <c r="G18" s="19">
        <f>IF(A18="","",G6)</f>
        <v/>
      </c>
    </row>
    <row r="19">
      <c r="A19" s="51" t="n"/>
      <c r="B19" s="19" t="inlineStr">
        <is>
          <t>팀원</t>
        </is>
      </c>
      <c r="C19" s="55" t="n"/>
      <c r="D19" s="55" t="n"/>
      <c r="E19" s="54">
        <f>IF(OR(A19="",D19=""),"",C19/D19)</f>
        <v/>
      </c>
      <c r="F19" s="32">
        <f>IF(A19="","",F6)</f>
        <v/>
      </c>
      <c r="G19" s="19">
        <f>IF(A19="","",G6)</f>
        <v/>
      </c>
    </row>
    <row r="20">
      <c r="A20" s="51" t="n"/>
      <c r="B20" s="19" t="inlineStr">
        <is>
          <t>팀원</t>
        </is>
      </c>
      <c r="C20" s="55" t="n"/>
      <c r="D20" s="55" t="n"/>
      <c r="E20" s="54">
        <f>IF(OR(A20="",D20=""),"",C20/D20)</f>
        <v/>
      </c>
      <c r="F20" s="32">
        <f>IF(A20="","",F6)</f>
        <v/>
      </c>
      <c r="G20" s="19">
        <f>IF(A20="","",G6)</f>
        <v/>
      </c>
    </row>
    <row r="21">
      <c r="A21" s="51" t="n"/>
      <c r="B21" s="19" t="inlineStr">
        <is>
          <t>팀원</t>
        </is>
      </c>
      <c r="C21" s="55" t="n"/>
      <c r="D21" s="55" t="n"/>
      <c r="E21" s="54">
        <f>IF(OR(A21="",D21=""),"",C21/D21)</f>
        <v/>
      </c>
      <c r="F21" s="32">
        <f>IF(A21="","",F6)</f>
        <v/>
      </c>
      <c r="G21" s="19">
        <f>IF(A21="","",G6)</f>
        <v/>
      </c>
    </row>
    <row r="22">
      <c r="A22" s="10" t="inlineStr">
        <is>
          <t>팀 평균 / 합계</t>
        </is>
      </c>
      <c r="C22" s="56">
        <f>SUM(C7:C21)</f>
        <v/>
      </c>
      <c r="D22" s="10" t="inlineStr">
        <is>
          <t>-</t>
        </is>
      </c>
      <c r="E22" s="10" t="inlineStr">
        <is>
          <t>-</t>
        </is>
      </c>
      <c r="F22" s="34">
        <f>F6</f>
        <v/>
      </c>
      <c r="G22" s="10">
        <f>G6</f>
        <v/>
      </c>
    </row>
    <row r="24">
      <c r="A24" s="6" t="inlineStr">
        <is>
          <t>② 개별성과 · 정량 (과정지표Ⅰ, 20점)</t>
        </is>
      </c>
    </row>
    <row r="25" ht="30" customHeight="1">
      <c r="A25" s="2" t="inlineStr">
        <is>
          <t>이름
(①표 자동)</t>
        </is>
      </c>
      <c r="B25" s="2" t="inlineStr">
        <is>
          <t>직책
(①표 자동)</t>
        </is>
      </c>
      <c r="C25" s="58" t="inlineStr">
        <is>
          <t>1. (예시) 스프린트 기능개발</t>
        </is>
      </c>
      <c r="F25" s="58" t="inlineStr">
        <is>
          <t>2. (예시) PR 코드리뷰</t>
        </is>
      </c>
      <c r="I25" s="58" t="inlineStr">
        <is>
          <t>3. (예시) 고객 데모 지원</t>
        </is>
      </c>
      <c r="L25" s="58" t="inlineStr">
        <is>
          <t>4. (예시) 컨설팅 검증 지원</t>
        </is>
      </c>
      <c r="O25" s="58" t="inlineStr">
        <is>
          <t>5. (예시) 배포·릴리즈 관리</t>
        </is>
      </c>
      <c r="R25" s="6" t="inlineStr">
        <is>
          <t>소계
(20)</t>
        </is>
      </c>
      <c r="S25" s="6" t="inlineStr">
        <is>
          <t>등급</t>
        </is>
      </c>
    </row>
    <row r="26" ht="42" customHeight="1">
      <c r="C26" s="21" t="inlineStr">
        <is>
          <t>이 항목명은 예시입니다. 팀 고유 KPI로 교체하세요.
계산식 예시: 실적 ÷ 목표 × 4점 = 점수</t>
        </is>
      </c>
      <c r="F26" s="21" t="inlineStr">
        <is>
          <t>이 항목명은 예시입니다. 팀 고유 KPI로 교체하세요.
계산식 예시: 실적 ÷ 목표 × 4점 = 점수</t>
        </is>
      </c>
      <c r="I26" s="21" t="inlineStr">
        <is>
          <t>이 항목명은 예시입니다. 팀 고유 KPI로 교체하세요.
계산식 예시: 실적 ÷ 목표 × 4점 = 점수</t>
        </is>
      </c>
      <c r="L26" s="21" t="inlineStr">
        <is>
          <t>이 항목명은 예시입니다. 팀 고유 KPI로 교체하세요.
계산식 예시: 실적 ÷ 목표 × 4점 = 점수</t>
        </is>
      </c>
      <c r="O26" s="21" t="inlineStr">
        <is>
          <t>이 항목명은 예시입니다. 팀 고유 KPI로 교체하세요.
계산식 예시: 실적 ÷ 목표 × 4점 = 점수</t>
        </is>
      </c>
    </row>
    <row r="27" ht="22" customHeight="1">
      <c r="C27" s="60" t="inlineStr">
        <is>
          <t>실적</t>
        </is>
      </c>
      <c r="D27" s="60" t="inlineStr">
        <is>
          <t>목표</t>
        </is>
      </c>
      <c r="E27" s="60" t="inlineStr">
        <is>
          <t>점수
(4)</t>
        </is>
      </c>
      <c r="F27" s="60" t="inlineStr">
        <is>
          <t>실적</t>
        </is>
      </c>
      <c r="G27" s="60" t="inlineStr">
        <is>
          <t>목표</t>
        </is>
      </c>
      <c r="H27" s="60" t="inlineStr">
        <is>
          <t>점수
(4)</t>
        </is>
      </c>
      <c r="I27" s="60" t="inlineStr">
        <is>
          <t>실적</t>
        </is>
      </c>
      <c r="J27" s="60" t="inlineStr">
        <is>
          <t>목표</t>
        </is>
      </c>
      <c r="K27" s="60" t="inlineStr">
        <is>
          <t>점수
(4)</t>
        </is>
      </c>
      <c r="L27" s="60" t="inlineStr">
        <is>
          <t>실적</t>
        </is>
      </c>
      <c r="M27" s="60" t="inlineStr">
        <is>
          <t>목표</t>
        </is>
      </c>
      <c r="N27" s="60" t="inlineStr">
        <is>
          <t>점수
(4)</t>
        </is>
      </c>
      <c r="O27" s="60" t="inlineStr">
        <is>
          <t>실적</t>
        </is>
      </c>
      <c r="P27" s="60" t="inlineStr">
        <is>
          <t>목표</t>
        </is>
      </c>
      <c r="Q27" s="60" t="inlineStr">
        <is>
          <t>점수
(4)</t>
        </is>
      </c>
    </row>
    <row r="28" ht="30" customHeight="1">
      <c r="A28" s="33">
        <f>IF(A6="","",A6)</f>
        <v/>
      </c>
      <c r="B28" s="19">
        <f>B6</f>
        <v/>
      </c>
      <c r="C28" s="61" t="inlineStr">
        <is>
          <t>팀리더는 개별성과(정량) 항목 해당 없음 — 팀 결과지표·역량평가 중심으로 평가</t>
        </is>
      </c>
    </row>
    <row r="29">
      <c r="A29" s="33">
        <f>IF(A7="","",A7)</f>
        <v/>
      </c>
      <c r="B29" s="19">
        <f>B7</f>
        <v/>
      </c>
      <c r="C29" s="55" t="n">
        <v>7</v>
      </c>
      <c r="D29" s="55" t="n">
        <v>8</v>
      </c>
      <c r="E29" s="32">
        <f>IF(OR(A29="",D29="",D29=0),"",MIN(C29/D29*4,4))</f>
        <v/>
      </c>
      <c r="F29" s="55" t="n">
        <v>14</v>
      </c>
      <c r="G29" s="55" t="n">
        <v>15</v>
      </c>
      <c r="H29" s="32">
        <f>IF(OR(A29="",G29="",G29=0),"",MIN(F29/G29*4,4))</f>
        <v/>
      </c>
      <c r="I29" s="55" t="n">
        <v>5</v>
      </c>
      <c r="J29" s="55" t="n">
        <v>5</v>
      </c>
      <c r="K29" s="32">
        <f>IF(OR(A29="",J29="",J29=0),"",MIN(I29/J29*4,4))</f>
        <v/>
      </c>
      <c r="L29" s="55" t="n">
        <v>4</v>
      </c>
      <c r="M29" s="55" t="n">
        <v>4</v>
      </c>
      <c r="N29" s="32">
        <f>IF(OR(A29="",M29="",M29=0),"",MIN(L29/M29*4,4))</f>
        <v/>
      </c>
      <c r="O29" s="55" t="n">
        <v>6</v>
      </c>
      <c r="P29" s="55" t="n">
        <v>6</v>
      </c>
      <c r="Q29" s="32">
        <f>IF(OR(A29="",P29="",P29=0),"",MIN(O29/P29*4,4))</f>
        <v/>
      </c>
      <c r="R29" s="32">
        <f>IF(A29="","",SUM(E29,H29,K29,N29,Q29))</f>
        <v/>
      </c>
      <c r="S29" s="19">
        <f>IF(R29="","",_xlfn.IFS(R29&gt;=18,"S",R29&gt;=16,"A",R29&gt;=14,"B",R29&gt;=11,"C",TRUE,"D"))</f>
        <v/>
      </c>
    </row>
    <row r="30">
      <c r="A30" s="33">
        <f>IF(A8="","",A8)</f>
        <v/>
      </c>
      <c r="B30" s="19">
        <f>B8</f>
        <v/>
      </c>
      <c r="C30" s="55" t="n">
        <v>7</v>
      </c>
      <c r="D30" s="55" t="n">
        <v>8</v>
      </c>
      <c r="E30" s="32">
        <f>IF(OR(A30="",D30="",D30=0),"",MIN(C30/D30*4,4))</f>
        <v/>
      </c>
      <c r="F30" s="55" t="n">
        <v>13</v>
      </c>
      <c r="G30" s="55" t="n">
        <v>15</v>
      </c>
      <c r="H30" s="32">
        <f>IF(OR(A30="",G30="",G30=0),"",MIN(F30/G30*4,4))</f>
        <v/>
      </c>
      <c r="I30" s="55" t="n">
        <v>4</v>
      </c>
      <c r="J30" s="55" t="n">
        <v>5</v>
      </c>
      <c r="K30" s="32">
        <f>IF(OR(A30="",J30="",J30=0),"",MIN(I30/J30*4,4))</f>
        <v/>
      </c>
      <c r="L30" s="55" t="n">
        <v>3</v>
      </c>
      <c r="M30" s="55" t="n">
        <v>4</v>
      </c>
      <c r="N30" s="32">
        <f>IF(OR(A30="",M30="",M30=0),"",MIN(L30/M30*4,4))</f>
        <v/>
      </c>
      <c r="O30" s="55" t="n">
        <v>5</v>
      </c>
      <c r="P30" s="55" t="n">
        <v>6</v>
      </c>
      <c r="Q30" s="32">
        <f>IF(OR(A30="",P30="",P30=0),"",MIN(O30/P30*4,4))</f>
        <v/>
      </c>
      <c r="R30" s="32">
        <f>IF(A30="","",SUM(E30,H30,K30,N30,Q30))</f>
        <v/>
      </c>
      <c r="S30" s="19">
        <f>IF(R30="","",_xlfn.IFS(R30&gt;=18,"S",R30&gt;=16,"A",R30&gt;=14,"B",R30&gt;=11,"C",TRUE,"D"))</f>
        <v/>
      </c>
    </row>
    <row r="31">
      <c r="A31" s="33">
        <f>IF(A9="","",A9)</f>
        <v/>
      </c>
      <c r="B31" s="19">
        <f>B9</f>
        <v/>
      </c>
      <c r="C31" s="55" t="n">
        <v>6</v>
      </c>
      <c r="D31" s="55" t="n">
        <v>8</v>
      </c>
      <c r="E31" s="32">
        <f>IF(OR(A31="",D31="",D31=0),"",MIN(C31/D31*4,4))</f>
        <v/>
      </c>
      <c r="F31" s="55" t="n">
        <v>12</v>
      </c>
      <c r="G31" s="55" t="n">
        <v>15</v>
      </c>
      <c r="H31" s="32">
        <f>IF(OR(A31="",G31="",G31=0),"",MIN(F31/G31*4,4))</f>
        <v/>
      </c>
      <c r="I31" s="55" t="n">
        <v>4</v>
      </c>
      <c r="J31" s="55" t="n">
        <v>5</v>
      </c>
      <c r="K31" s="32">
        <f>IF(OR(A31="",J31="",J31=0),"",MIN(I31/J31*4,4))</f>
        <v/>
      </c>
      <c r="L31" s="55" t="n">
        <v>3</v>
      </c>
      <c r="M31" s="55" t="n">
        <v>4</v>
      </c>
      <c r="N31" s="32">
        <f>IF(OR(A31="",M31="",M31=0),"",MIN(L31/M31*4,4))</f>
        <v/>
      </c>
      <c r="O31" s="55" t="n">
        <v>5</v>
      </c>
      <c r="P31" s="55" t="n">
        <v>6</v>
      </c>
      <c r="Q31" s="32">
        <f>IF(OR(A31="",P31="",P31=0),"",MIN(O31/P31*4,4))</f>
        <v/>
      </c>
      <c r="R31" s="32">
        <f>IF(A31="","",SUM(E31,H31,K31,N31,Q31))</f>
        <v/>
      </c>
      <c r="S31" s="19">
        <f>IF(R31="","",_xlfn.IFS(R31&gt;=18,"S",R31&gt;=16,"A",R31&gt;=14,"B",R31&gt;=11,"C",TRUE,"D"))</f>
        <v/>
      </c>
    </row>
    <row r="32">
      <c r="A32" s="33">
        <f>IF(A10="","",A10)</f>
        <v/>
      </c>
      <c r="B32" s="19">
        <f>B10</f>
        <v/>
      </c>
      <c r="C32" s="55" t="n">
        <v>6</v>
      </c>
      <c r="D32" s="55" t="n">
        <v>8</v>
      </c>
      <c r="E32" s="32">
        <f>IF(OR(A32="",D32="",D32=0),"",MIN(C32/D32*4,4))</f>
        <v/>
      </c>
      <c r="F32" s="55" t="n">
        <v>11</v>
      </c>
      <c r="G32" s="55" t="n">
        <v>15</v>
      </c>
      <c r="H32" s="32">
        <f>IF(OR(A32="",G32="",G32=0),"",MIN(F32/G32*4,4))</f>
        <v/>
      </c>
      <c r="I32" s="55" t="n">
        <v>4</v>
      </c>
      <c r="J32" s="55" t="n">
        <v>5</v>
      </c>
      <c r="K32" s="32">
        <f>IF(OR(A32="",J32="",J32=0),"",MIN(I32/J32*4,4))</f>
        <v/>
      </c>
      <c r="L32" s="55" t="n">
        <v>3</v>
      </c>
      <c r="M32" s="55" t="n">
        <v>4</v>
      </c>
      <c r="N32" s="32">
        <f>IF(OR(A32="",M32="",M32=0),"",MIN(L32/M32*4,4))</f>
        <v/>
      </c>
      <c r="O32" s="55" t="n">
        <v>4</v>
      </c>
      <c r="P32" s="55" t="n">
        <v>6</v>
      </c>
      <c r="Q32" s="32">
        <f>IF(OR(A32="",P32="",P32=0),"",MIN(O32/P32*4,4))</f>
        <v/>
      </c>
      <c r="R32" s="32">
        <f>IF(A32="","",SUM(E32,H32,K32,N32,Q32))</f>
        <v/>
      </c>
      <c r="S32" s="19">
        <f>IF(R32="","",_xlfn.IFS(R32&gt;=18,"S",R32&gt;=16,"A",R32&gt;=14,"B",R32&gt;=11,"C",TRUE,"D"))</f>
        <v/>
      </c>
    </row>
    <row r="33">
      <c r="A33" s="33">
        <f>IF(A11="","",A11)</f>
        <v/>
      </c>
      <c r="B33" s="19">
        <f>B11</f>
        <v/>
      </c>
      <c r="C33" s="55" t="n">
        <v>5</v>
      </c>
      <c r="D33" s="55" t="n">
        <v>8</v>
      </c>
      <c r="E33" s="32">
        <f>IF(OR(A33="",D33="",D33=0),"",MIN(C33/D33*4,4))</f>
        <v/>
      </c>
      <c r="F33" s="55" t="n">
        <v>10</v>
      </c>
      <c r="G33" s="55" t="n">
        <v>15</v>
      </c>
      <c r="H33" s="32">
        <f>IF(OR(A33="",G33="",G33=0),"",MIN(F33/G33*4,4))</f>
        <v/>
      </c>
      <c r="I33" s="55" t="n">
        <v>3</v>
      </c>
      <c r="J33" s="55" t="n">
        <v>5</v>
      </c>
      <c r="K33" s="32">
        <f>IF(OR(A33="",J33="",J33=0),"",MIN(I33/J33*4,4))</f>
        <v/>
      </c>
      <c r="L33" s="55" t="n">
        <v>3</v>
      </c>
      <c r="M33" s="55" t="n">
        <v>4</v>
      </c>
      <c r="N33" s="32">
        <f>IF(OR(A33="",M33="",M33=0),"",MIN(L33/M33*4,4))</f>
        <v/>
      </c>
      <c r="O33" s="55" t="n">
        <v>4</v>
      </c>
      <c r="P33" s="55" t="n">
        <v>6</v>
      </c>
      <c r="Q33" s="32">
        <f>IF(OR(A33="",P33="",P33=0),"",MIN(O33/P33*4,4))</f>
        <v/>
      </c>
      <c r="R33" s="32">
        <f>IF(A33="","",SUM(E33,H33,K33,N33,Q33))</f>
        <v/>
      </c>
      <c r="S33" s="19">
        <f>IF(R33="","",_xlfn.IFS(R33&gt;=18,"S",R33&gt;=16,"A",R33&gt;=14,"B",R33&gt;=11,"C",TRUE,"D"))</f>
        <v/>
      </c>
    </row>
    <row r="34">
      <c r="A34" s="33">
        <f>IF(A12="","",A12)</f>
        <v/>
      </c>
      <c r="B34" s="19">
        <f>B12</f>
        <v/>
      </c>
      <c r="C34" s="55" t="n">
        <v>5</v>
      </c>
      <c r="D34" s="55" t="n">
        <v>8</v>
      </c>
      <c r="E34" s="32">
        <f>IF(OR(A34="",D34="",D34=0),"",MIN(C34/D34*4,4))</f>
        <v/>
      </c>
      <c r="F34" s="55" t="n">
        <v>9</v>
      </c>
      <c r="G34" s="55" t="n">
        <v>15</v>
      </c>
      <c r="H34" s="32">
        <f>IF(OR(A34="",G34="",G34=0),"",MIN(F34/G34*4,4))</f>
        <v/>
      </c>
      <c r="I34" s="55" t="n">
        <v>3</v>
      </c>
      <c r="J34" s="55" t="n">
        <v>5</v>
      </c>
      <c r="K34" s="32">
        <f>IF(OR(A34="",J34="",J34=0),"",MIN(I34/J34*4,4))</f>
        <v/>
      </c>
      <c r="L34" s="55" t="n">
        <v>2</v>
      </c>
      <c r="M34" s="55" t="n">
        <v>4</v>
      </c>
      <c r="N34" s="32">
        <f>IF(OR(A34="",M34="",M34=0),"",MIN(L34/M34*4,4))</f>
        <v/>
      </c>
      <c r="O34" s="55" t="n">
        <v>4</v>
      </c>
      <c r="P34" s="55" t="n">
        <v>6</v>
      </c>
      <c r="Q34" s="32">
        <f>IF(OR(A34="",P34="",P34=0),"",MIN(O34/P34*4,4))</f>
        <v/>
      </c>
      <c r="R34" s="32">
        <f>IF(A34="","",SUM(E34,H34,K34,N34,Q34))</f>
        <v/>
      </c>
      <c r="S34" s="19">
        <f>IF(R34="","",_xlfn.IFS(R34&gt;=18,"S",R34&gt;=16,"A",R34&gt;=14,"B",R34&gt;=11,"C",TRUE,"D"))</f>
        <v/>
      </c>
    </row>
    <row r="35">
      <c r="A35" s="33">
        <f>IF(A13="","",A13)</f>
        <v/>
      </c>
      <c r="B35" s="19">
        <f>B13</f>
        <v/>
      </c>
      <c r="C35" s="55" t="n">
        <v>4</v>
      </c>
      <c r="D35" s="55" t="n">
        <v>8</v>
      </c>
      <c r="E35" s="32">
        <f>IF(OR(A35="",D35="",D35=0),"",MIN(C35/D35*4,4))</f>
        <v/>
      </c>
      <c r="F35" s="55" t="n">
        <v>8</v>
      </c>
      <c r="G35" s="55" t="n">
        <v>15</v>
      </c>
      <c r="H35" s="32">
        <f>IF(OR(A35="",G35="",G35=0),"",MIN(F35/G35*4,4))</f>
        <v/>
      </c>
      <c r="I35" s="55" t="n">
        <v>3</v>
      </c>
      <c r="J35" s="55" t="n">
        <v>5</v>
      </c>
      <c r="K35" s="32">
        <f>IF(OR(A35="",J35="",J35=0),"",MIN(I35/J35*4,4))</f>
        <v/>
      </c>
      <c r="L35" s="55" t="n">
        <v>2</v>
      </c>
      <c r="M35" s="55" t="n">
        <v>4</v>
      </c>
      <c r="N35" s="32">
        <f>IF(OR(A35="",M35="",M35=0),"",MIN(L35/M35*4,4))</f>
        <v/>
      </c>
      <c r="O35" s="55" t="n">
        <v>3</v>
      </c>
      <c r="P35" s="55" t="n">
        <v>6</v>
      </c>
      <c r="Q35" s="32">
        <f>IF(OR(A35="",P35="",P35=0),"",MIN(O35/P35*4,4))</f>
        <v/>
      </c>
      <c r="R35" s="32">
        <f>IF(A35="","",SUM(E35,H35,K35,N35,Q35))</f>
        <v/>
      </c>
      <c r="S35" s="19">
        <f>IF(R35="","",_xlfn.IFS(R35&gt;=18,"S",R35&gt;=16,"A",R35&gt;=14,"B",R35&gt;=11,"C",TRUE,"D"))</f>
        <v/>
      </c>
    </row>
    <row r="36">
      <c r="A36" s="33">
        <f>IF(A14="","",A14)</f>
        <v/>
      </c>
      <c r="B36" s="19">
        <f>B14</f>
        <v/>
      </c>
      <c r="C36" s="55" t="n">
        <v>4</v>
      </c>
      <c r="D36" s="55" t="n">
        <v>8</v>
      </c>
      <c r="E36" s="32">
        <f>IF(OR(A36="",D36="",D36=0),"",MIN(C36/D36*4,4))</f>
        <v/>
      </c>
      <c r="F36" s="55" t="n">
        <v>7</v>
      </c>
      <c r="G36" s="55" t="n">
        <v>15</v>
      </c>
      <c r="H36" s="32">
        <f>IF(OR(A36="",G36="",G36=0),"",MIN(F36/G36*4,4))</f>
        <v/>
      </c>
      <c r="I36" s="55" t="n">
        <v>2</v>
      </c>
      <c r="J36" s="55" t="n">
        <v>5</v>
      </c>
      <c r="K36" s="32">
        <f>IF(OR(A36="",J36="",J36=0),"",MIN(I36/J36*4,4))</f>
        <v/>
      </c>
      <c r="L36" s="55" t="n">
        <v>2</v>
      </c>
      <c r="M36" s="55" t="n">
        <v>4</v>
      </c>
      <c r="N36" s="32">
        <f>IF(OR(A36="",M36="",M36=0),"",MIN(L36/M36*4,4))</f>
        <v/>
      </c>
      <c r="O36" s="55" t="n">
        <v>3</v>
      </c>
      <c r="P36" s="55" t="n">
        <v>6</v>
      </c>
      <c r="Q36" s="32">
        <f>IF(OR(A36="",P36="",P36=0),"",MIN(O36/P36*4,4))</f>
        <v/>
      </c>
      <c r="R36" s="32">
        <f>IF(A36="","",SUM(E36,H36,K36,N36,Q36))</f>
        <v/>
      </c>
      <c r="S36" s="19">
        <f>IF(R36="","",_xlfn.IFS(R36&gt;=18,"S",R36&gt;=16,"A",R36&gt;=14,"B",R36&gt;=11,"C",TRUE,"D"))</f>
        <v/>
      </c>
    </row>
    <row r="37">
      <c r="A37" s="33">
        <f>IF(A15="","",A15)</f>
        <v/>
      </c>
      <c r="B37" s="19">
        <f>B15</f>
        <v/>
      </c>
      <c r="C37" s="55" t="n">
        <v>3</v>
      </c>
      <c r="D37" s="55" t="n">
        <v>8</v>
      </c>
      <c r="E37" s="32">
        <f>IF(OR(A37="",D37="",D37=0),"",MIN(C37/D37*4,4))</f>
        <v/>
      </c>
      <c r="F37" s="55" t="n">
        <v>6</v>
      </c>
      <c r="G37" s="55" t="n">
        <v>15</v>
      </c>
      <c r="H37" s="32">
        <f>IF(OR(A37="",G37="",G37=0),"",MIN(F37/G37*4,4))</f>
        <v/>
      </c>
      <c r="I37" s="55" t="n">
        <v>2</v>
      </c>
      <c r="J37" s="55" t="n">
        <v>5</v>
      </c>
      <c r="K37" s="32">
        <f>IF(OR(A37="",J37="",J37=0),"",MIN(I37/J37*4,4))</f>
        <v/>
      </c>
      <c r="L37" s="55" t="n">
        <v>2</v>
      </c>
      <c r="M37" s="55" t="n">
        <v>4</v>
      </c>
      <c r="N37" s="32">
        <f>IF(OR(A37="",M37="",M37=0),"",MIN(L37/M37*4,4))</f>
        <v/>
      </c>
      <c r="O37" s="55" t="n">
        <v>2</v>
      </c>
      <c r="P37" s="55" t="n">
        <v>6</v>
      </c>
      <c r="Q37" s="32">
        <f>IF(OR(A37="",P37="",P37=0),"",MIN(O37/P37*4,4))</f>
        <v/>
      </c>
      <c r="R37" s="32">
        <f>IF(A37="","",SUM(E37,H37,K37,N37,Q37))</f>
        <v/>
      </c>
      <c r="S37" s="19">
        <f>IF(R37="","",_xlfn.IFS(R37&gt;=18,"S",R37&gt;=16,"A",R37&gt;=14,"B",R37&gt;=11,"C",TRUE,"D"))</f>
        <v/>
      </c>
    </row>
    <row r="38">
      <c r="A38" s="33">
        <f>IF(A16="","",A16)</f>
        <v/>
      </c>
      <c r="B38" s="19">
        <f>B16</f>
        <v/>
      </c>
      <c r="C38" s="55" t="n">
        <v>2</v>
      </c>
      <c r="D38" s="55" t="n">
        <v>8</v>
      </c>
      <c r="E38" s="32">
        <f>IF(OR(A38="",D38="",D38=0),"",MIN(C38/D38*4,4))</f>
        <v/>
      </c>
      <c r="F38" s="55" t="n">
        <v>4</v>
      </c>
      <c r="G38" s="55" t="n">
        <v>15</v>
      </c>
      <c r="H38" s="32">
        <f>IF(OR(A38="",G38="",G38=0),"",MIN(F38/G38*4,4))</f>
        <v/>
      </c>
      <c r="I38" s="55" t="n">
        <v>1</v>
      </c>
      <c r="J38" s="55" t="n">
        <v>5</v>
      </c>
      <c r="K38" s="32">
        <f>IF(OR(A38="",J38="",J38=0),"",MIN(I38/J38*4,4))</f>
        <v/>
      </c>
      <c r="L38" s="55" t="n">
        <v>1</v>
      </c>
      <c r="M38" s="55" t="n">
        <v>4</v>
      </c>
      <c r="N38" s="32">
        <f>IF(OR(A38="",M38="",M38=0),"",MIN(L38/M38*4,4))</f>
        <v/>
      </c>
      <c r="O38" s="55" t="n">
        <v>2</v>
      </c>
      <c r="P38" s="55" t="n">
        <v>6</v>
      </c>
      <c r="Q38" s="32">
        <f>IF(OR(A38="",P38="",P38=0),"",MIN(O38/P38*4,4))</f>
        <v/>
      </c>
      <c r="R38" s="32">
        <f>IF(A38="","",SUM(E38,H38,K38,N38,Q38))</f>
        <v/>
      </c>
      <c r="S38" s="19">
        <f>IF(R38="","",_xlfn.IFS(R38&gt;=18,"S",R38&gt;=16,"A",R38&gt;=14,"B",R38&gt;=11,"C",TRUE,"D"))</f>
        <v/>
      </c>
    </row>
    <row r="39">
      <c r="A39" s="33">
        <f>IF(A17="","",A17)</f>
        <v/>
      </c>
      <c r="B39" s="19">
        <f>B17</f>
        <v/>
      </c>
      <c r="C39" s="55" t="n"/>
      <c r="D39" s="55" t="n"/>
      <c r="E39" s="32">
        <f>IF(OR(A39="",D39="",D39=0),"",MIN(C39/D39*4,4))</f>
        <v/>
      </c>
      <c r="F39" s="55" t="n"/>
      <c r="G39" s="55" t="n"/>
      <c r="H39" s="32">
        <f>IF(OR(A39="",G39="",G39=0),"",MIN(F39/G39*4,4))</f>
        <v/>
      </c>
      <c r="I39" s="55" t="n"/>
      <c r="J39" s="55" t="n"/>
      <c r="K39" s="32">
        <f>IF(OR(A39="",J39="",J39=0),"",MIN(I39/J39*4,4))</f>
        <v/>
      </c>
      <c r="L39" s="55" t="n"/>
      <c r="M39" s="55" t="n"/>
      <c r="N39" s="32">
        <f>IF(OR(A39="",M39="",M39=0),"",MIN(L39/M39*4,4))</f>
        <v/>
      </c>
      <c r="O39" s="55" t="n"/>
      <c r="P39" s="55" t="n"/>
      <c r="Q39" s="32">
        <f>IF(OR(A39="",P39="",P39=0),"",MIN(O39/P39*4,4))</f>
        <v/>
      </c>
      <c r="R39" s="32">
        <f>IF(A39="","",SUM(E39,H39,K39,N39,Q39))</f>
        <v/>
      </c>
      <c r="S39" s="19">
        <f>IF(R39="","",_xlfn.IFS(R39&gt;=18,"S",R39&gt;=16,"A",R39&gt;=14,"B",R39&gt;=11,"C",TRUE,"D"))</f>
        <v/>
      </c>
    </row>
    <row r="40">
      <c r="A40" s="33">
        <f>IF(A18="","",A18)</f>
        <v/>
      </c>
      <c r="B40" s="19">
        <f>B18</f>
        <v/>
      </c>
      <c r="C40" s="55" t="n"/>
      <c r="D40" s="55" t="n"/>
      <c r="E40" s="32">
        <f>IF(OR(A40="",D40="",D40=0),"",MIN(C40/D40*4,4))</f>
        <v/>
      </c>
      <c r="F40" s="55" t="n"/>
      <c r="G40" s="55" t="n"/>
      <c r="H40" s="32">
        <f>IF(OR(A40="",G40="",G40=0),"",MIN(F40/G40*4,4))</f>
        <v/>
      </c>
      <c r="I40" s="55" t="n"/>
      <c r="J40" s="55" t="n"/>
      <c r="K40" s="32">
        <f>IF(OR(A40="",J40="",J40=0),"",MIN(I40/J40*4,4))</f>
        <v/>
      </c>
      <c r="L40" s="55" t="n"/>
      <c r="M40" s="55" t="n"/>
      <c r="N40" s="32">
        <f>IF(OR(A40="",M40="",M40=0),"",MIN(L40/M40*4,4))</f>
        <v/>
      </c>
      <c r="O40" s="55" t="n"/>
      <c r="P40" s="55" t="n"/>
      <c r="Q40" s="32">
        <f>IF(OR(A40="",P40="",P40=0),"",MIN(O40/P40*4,4))</f>
        <v/>
      </c>
      <c r="R40" s="32">
        <f>IF(A40="","",SUM(E40,H40,K40,N40,Q40))</f>
        <v/>
      </c>
      <c r="S40" s="19">
        <f>IF(R40="","",_xlfn.IFS(R40&gt;=18,"S",R40&gt;=16,"A",R40&gt;=14,"B",R40&gt;=11,"C",TRUE,"D"))</f>
        <v/>
      </c>
    </row>
    <row r="41">
      <c r="A41" s="33">
        <f>IF(A19="","",A19)</f>
        <v/>
      </c>
      <c r="B41" s="19">
        <f>B19</f>
        <v/>
      </c>
      <c r="C41" s="55" t="n"/>
      <c r="D41" s="55" t="n"/>
      <c r="E41" s="32">
        <f>IF(OR(A41="",D41="",D41=0),"",MIN(C41/D41*4,4))</f>
        <v/>
      </c>
      <c r="F41" s="55" t="n"/>
      <c r="G41" s="55" t="n"/>
      <c r="H41" s="32">
        <f>IF(OR(A41="",G41="",G41=0),"",MIN(F41/G41*4,4))</f>
        <v/>
      </c>
      <c r="I41" s="55" t="n"/>
      <c r="J41" s="55" t="n"/>
      <c r="K41" s="32">
        <f>IF(OR(A41="",J41="",J41=0),"",MIN(I41/J41*4,4))</f>
        <v/>
      </c>
      <c r="L41" s="55" t="n"/>
      <c r="M41" s="55" t="n"/>
      <c r="N41" s="32">
        <f>IF(OR(A41="",M41="",M41=0),"",MIN(L41/M41*4,4))</f>
        <v/>
      </c>
      <c r="O41" s="55" t="n"/>
      <c r="P41" s="55" t="n"/>
      <c r="Q41" s="32">
        <f>IF(OR(A41="",P41="",P41=0),"",MIN(O41/P41*4,4))</f>
        <v/>
      </c>
      <c r="R41" s="32">
        <f>IF(A41="","",SUM(E41,H41,K41,N41,Q41))</f>
        <v/>
      </c>
      <c r="S41" s="19">
        <f>IF(R41="","",_xlfn.IFS(R41&gt;=18,"S",R41&gt;=16,"A",R41&gt;=14,"B",R41&gt;=11,"C",TRUE,"D"))</f>
        <v/>
      </c>
    </row>
    <row r="42">
      <c r="A42" s="33">
        <f>IF(A20="","",A20)</f>
        <v/>
      </c>
      <c r="B42" s="19">
        <f>B20</f>
        <v/>
      </c>
      <c r="C42" s="55" t="n"/>
      <c r="D42" s="55" t="n"/>
      <c r="E42" s="32">
        <f>IF(OR(A42="",D42="",D42=0),"",MIN(C42/D42*4,4))</f>
        <v/>
      </c>
      <c r="F42" s="55" t="n"/>
      <c r="G42" s="55" t="n"/>
      <c r="H42" s="32">
        <f>IF(OR(A42="",G42="",G42=0),"",MIN(F42/G42*4,4))</f>
        <v/>
      </c>
      <c r="I42" s="55" t="n"/>
      <c r="J42" s="55" t="n"/>
      <c r="K42" s="32">
        <f>IF(OR(A42="",J42="",J42=0),"",MIN(I42/J42*4,4))</f>
        <v/>
      </c>
      <c r="L42" s="55" t="n"/>
      <c r="M42" s="55" t="n"/>
      <c r="N42" s="32">
        <f>IF(OR(A42="",M42="",M42=0),"",MIN(L42/M42*4,4))</f>
        <v/>
      </c>
      <c r="O42" s="55" t="n"/>
      <c r="P42" s="55" t="n"/>
      <c r="Q42" s="32">
        <f>IF(OR(A42="",P42="",P42=0),"",MIN(O42/P42*4,4))</f>
        <v/>
      </c>
      <c r="R42" s="32">
        <f>IF(A42="","",SUM(E42,H42,K42,N42,Q42))</f>
        <v/>
      </c>
      <c r="S42" s="19">
        <f>IF(R42="","",_xlfn.IFS(R42&gt;=18,"S",R42&gt;=16,"A",R42&gt;=14,"B",R42&gt;=11,"C",TRUE,"D"))</f>
        <v/>
      </c>
    </row>
    <row r="43">
      <c r="A43" s="33">
        <f>IF(A21="","",A21)</f>
        <v/>
      </c>
      <c r="B43" s="19">
        <f>B21</f>
        <v/>
      </c>
      <c r="C43" s="55" t="n"/>
      <c r="D43" s="55" t="n"/>
      <c r="E43" s="32">
        <f>IF(OR(A43="",D43="",D43=0),"",MIN(C43/D43*4,4))</f>
        <v/>
      </c>
      <c r="F43" s="55" t="n"/>
      <c r="G43" s="55" t="n"/>
      <c r="H43" s="32">
        <f>IF(OR(A43="",G43="",G43=0),"",MIN(F43/G43*4,4))</f>
        <v/>
      </c>
      <c r="I43" s="55" t="n"/>
      <c r="J43" s="55" t="n"/>
      <c r="K43" s="32">
        <f>IF(OR(A43="",J43="",J43=0),"",MIN(I43/J43*4,4))</f>
        <v/>
      </c>
      <c r="L43" s="55" t="n"/>
      <c r="M43" s="55" t="n"/>
      <c r="N43" s="32">
        <f>IF(OR(A43="",M43="",M43=0),"",MIN(L43/M43*4,4))</f>
        <v/>
      </c>
      <c r="O43" s="55" t="n"/>
      <c r="P43" s="55" t="n"/>
      <c r="Q43" s="32">
        <f>IF(OR(A43="",P43="",P43=0),"",MIN(O43/P43*4,4))</f>
        <v/>
      </c>
      <c r="R43" s="32">
        <f>IF(A43="","",SUM(E43,H43,K43,N43,Q43))</f>
        <v/>
      </c>
      <c r="S43" s="19">
        <f>IF(R43="","",_xlfn.IFS(R43&gt;=18,"S",R43&gt;=16,"A",R43&gt;=14,"B",R43&gt;=11,"C",TRUE,"D"))</f>
        <v/>
      </c>
    </row>
    <row r="44">
      <c r="A44" s="10" t="inlineStr">
        <is>
          <t>팀 평균 / 합계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34">
        <f>AVERAGE(R29:R43)</f>
        <v/>
      </c>
      <c r="S44" s="10" t="inlineStr">
        <is>
          <t>-</t>
        </is>
      </c>
    </row>
    <row r="46">
      <c r="A46" s="8" t="inlineStr">
        <is>
          <t>③ 역량평가 · 정성 (과정지표Ⅱ, 30점)</t>
        </is>
      </c>
      <c r="J46" s="2" t="inlineStr">
        <is>
          <t>④ 종합</t>
        </is>
      </c>
    </row>
    <row r="47" ht="30" customHeight="1">
      <c r="A47" s="2" t="inlineStr">
        <is>
          <t>이름
(①표 자동)</t>
        </is>
      </c>
      <c r="B47" s="2" t="inlineStr">
        <is>
          <t>직책
(①표 자동)</t>
        </is>
      </c>
      <c r="C47" s="8" t="inlineStr">
        <is>
          <t>업무태도</t>
        </is>
      </c>
      <c r="D47" s="8" t="inlineStr">
        <is>
          <t>전문소통</t>
        </is>
      </c>
      <c r="E47" s="8" t="inlineStr">
        <is>
          <t>조직화합</t>
        </is>
      </c>
      <c r="F47" s="8" t="inlineStr">
        <is>
          <t>업무지시이행</t>
        </is>
      </c>
      <c r="G47" s="8" t="inlineStr">
        <is>
          <t>조직기여</t>
        </is>
      </c>
      <c r="H47" s="8" t="inlineStr">
        <is>
          <t>소계
(30)</t>
        </is>
      </c>
      <c r="I47" s="8" t="inlineStr">
        <is>
          <t>등급</t>
        </is>
      </c>
      <c r="J47" s="2" t="inlineStr">
        <is>
          <t>①결과지표
점수(참조)</t>
        </is>
      </c>
      <c r="K47" s="2" t="inlineStr">
        <is>
          <t>②개별성과
소계(참조)</t>
        </is>
      </c>
      <c r="L47" s="2" t="inlineStr">
        <is>
          <t>종합점수
(100)</t>
        </is>
      </c>
      <c r="M47" s="2" t="inlineStr">
        <is>
          <t>종합등급</t>
        </is>
      </c>
      <c r="N47" s="2" t="inlineStr">
        <is>
          <t>보상구분</t>
        </is>
      </c>
      <c r="O47" s="2" t="inlineStr">
        <is>
          <t>비고</t>
        </is>
      </c>
    </row>
    <row r="48" ht="42" customHeight="1">
      <c r="C48" s="21" t="inlineStr">
        <is>
          <t>성실성·근태·마감 준수 등 기본 업무 자세 (0~6점)</t>
        </is>
      </c>
      <c r="D48" s="21" t="inlineStr">
        <is>
          <t>고객·동료와의 커뮤니케이션 품질과 신속성 (0~6점)</t>
        </is>
      </c>
      <c r="E48" s="21" t="inlineStr">
        <is>
          <t>팀 내 협업 및 갈등 조율 기여도 (0~6점)</t>
        </is>
      </c>
      <c r="F48" s="21" t="inlineStr">
        <is>
          <t>지시받은 업무의 완결성과 정확도 (0~6점)</t>
        </is>
      </c>
      <c r="G48" s="21" t="inlineStr">
        <is>
          <t>팀/전사 차원의 부가적 기여 - 멘토링·지식공유 등 (0~6점)</t>
        </is>
      </c>
    </row>
    <row r="49" ht="22" customHeight="1">
      <c r="C49" s="63" t="inlineStr">
        <is>
          <t>점수
(6)</t>
        </is>
      </c>
      <c r="D49" s="63" t="inlineStr">
        <is>
          <t>점수
(6)</t>
        </is>
      </c>
      <c r="E49" s="63" t="inlineStr">
        <is>
          <t>점수
(6)</t>
        </is>
      </c>
      <c r="F49" s="63" t="inlineStr">
        <is>
          <t>점수
(6)</t>
        </is>
      </c>
      <c r="G49" s="63" t="inlineStr">
        <is>
          <t>점수
(6)</t>
        </is>
      </c>
    </row>
    <row r="50" ht="34" customHeight="1">
      <c r="A50" s="33">
        <f>IF(A6="","",A6)</f>
        <v/>
      </c>
      <c r="B50" s="19">
        <f>B6</f>
        <v/>
      </c>
      <c r="C50" s="61" t="inlineStr">
        <is>
          <t>리더의 역량평가는 상급자(경영진)가 별도로 평가합니다 — 본 시트에는 미기재</t>
        </is>
      </c>
      <c r="J50" s="32">
        <f>F6</f>
        <v/>
      </c>
      <c r="K50" s="20" t="inlineStr">
        <is>
          <t>해당없음</t>
        </is>
      </c>
      <c r="L50" s="61" t="inlineStr">
        <is>
          <t>리더 종합평가 = 결과지표(50) + 상급자 역량평가(30, 별도 산정) — 본 시트 자동계산 대상 아님</t>
        </is>
      </c>
      <c r="O50" s="64" t="n"/>
    </row>
    <row r="51">
      <c r="A51" s="33">
        <f>IF(A7="","",A7)</f>
        <v/>
      </c>
      <c r="B51" s="19">
        <f>B7</f>
        <v/>
      </c>
      <c r="C51" s="55" t="n">
        <v>6</v>
      </c>
      <c r="D51" s="55" t="n">
        <v>6</v>
      </c>
      <c r="E51" s="55" t="n">
        <v>6</v>
      </c>
      <c r="F51" s="55" t="n">
        <v>6</v>
      </c>
      <c r="G51" s="55" t="n">
        <v>6</v>
      </c>
      <c r="H51" s="32">
        <f>IF(A51="","",SUM(C51,D51,E51,F51,G51))</f>
        <v/>
      </c>
      <c r="I51" s="19">
        <f>IF(H51="","",_xlfn.IFS(H51&gt;=27,"S",H51&gt;=24,"A",H51&gt;=21,"B",H51&gt;=18,"C",TRUE,"D"))</f>
        <v/>
      </c>
      <c r="J51" s="32">
        <f>IF(A51="","",F7)</f>
        <v/>
      </c>
      <c r="K51" s="32">
        <f>IF(A51="","",R29)</f>
        <v/>
      </c>
      <c r="L51" s="32">
        <f>IF(A51="","",J51+K51+H51)</f>
        <v/>
      </c>
      <c r="M51" s="19">
        <f>IF(L51="","",_xlfn.IFS(L51&gt;=90,"S",L51&gt;=82,"A",L51&gt;=70,"B",L51&gt;=60,"C",TRUE,"D"))</f>
        <v/>
      </c>
      <c r="N51" s="33">
        <f>IF(M51="","",_xlfn.IFS(M51="S","특별성과급 (연봉의 15%) + 연봉 인상 10%",M51="A","성과급 (연봉의 10%) + 연봉 인상 7%",M51="B","연봉 인상 3% (물가인상률 보전)",M51="C","동결 (PIP 대상)",TRUE,"동결 (경고 및 보직조정)"))</f>
        <v/>
      </c>
      <c r="O51" s="51" t="n"/>
    </row>
    <row r="52">
      <c r="A52" s="33">
        <f>IF(A8="","",A8)</f>
        <v/>
      </c>
      <c r="B52" s="19">
        <f>B8</f>
        <v/>
      </c>
      <c r="C52" s="55" t="n">
        <v>5</v>
      </c>
      <c r="D52" s="55" t="n">
        <v>5</v>
      </c>
      <c r="E52" s="55" t="n">
        <v>5</v>
      </c>
      <c r="F52" s="55" t="n">
        <v>5</v>
      </c>
      <c r="G52" s="55" t="n">
        <v>5</v>
      </c>
      <c r="H52" s="32">
        <f>IF(A52="","",SUM(C52,D52,E52,F52,G52))</f>
        <v/>
      </c>
      <c r="I52" s="19">
        <f>IF(H52="","",_xlfn.IFS(H52&gt;=27,"S",H52&gt;=24,"A",H52&gt;=21,"B",H52&gt;=18,"C",TRUE,"D"))</f>
        <v/>
      </c>
      <c r="J52" s="32">
        <f>IF(A52="","",F8)</f>
        <v/>
      </c>
      <c r="K52" s="32">
        <f>IF(A52="","",R30)</f>
        <v/>
      </c>
      <c r="L52" s="32">
        <f>IF(A52="","",J52+K52+H52)</f>
        <v/>
      </c>
      <c r="M52" s="19">
        <f>IF(L52="","",_xlfn.IFS(L52&gt;=90,"S",L52&gt;=82,"A",L52&gt;=70,"B",L52&gt;=60,"C",TRUE,"D"))</f>
        <v/>
      </c>
      <c r="N52" s="33">
        <f>IF(M52="","",_xlfn.IFS(M52="S","특별성과급 (연봉의 15%) + 연봉 인상 10%",M52="A","성과급 (연봉의 10%) + 연봉 인상 7%",M52="B","연봉 인상 3% (물가인상률 보전)",M52="C","동결 (PIP 대상)",TRUE,"동결 (경고 및 보직조정)"))</f>
        <v/>
      </c>
      <c r="O52" s="51" t="n"/>
    </row>
    <row r="53">
      <c r="A53" s="33">
        <f>IF(A9="","",A9)</f>
        <v/>
      </c>
      <c r="B53" s="19">
        <f>B9</f>
        <v/>
      </c>
      <c r="C53" s="55" t="n">
        <v>5</v>
      </c>
      <c r="D53" s="55" t="n">
        <v>5</v>
      </c>
      <c r="E53" s="55" t="n">
        <v>5</v>
      </c>
      <c r="F53" s="55" t="n">
        <v>5</v>
      </c>
      <c r="G53" s="55" t="n">
        <v>5</v>
      </c>
      <c r="H53" s="32">
        <f>IF(A53="","",SUM(C53,D53,E53,F53,G53))</f>
        <v/>
      </c>
      <c r="I53" s="19">
        <f>IF(H53="","",_xlfn.IFS(H53&gt;=27,"S",H53&gt;=24,"A",H53&gt;=21,"B",H53&gt;=18,"C",TRUE,"D"))</f>
        <v/>
      </c>
      <c r="J53" s="32">
        <f>IF(A53="","",F9)</f>
        <v/>
      </c>
      <c r="K53" s="32">
        <f>IF(A53="","",R31)</f>
        <v/>
      </c>
      <c r="L53" s="32">
        <f>IF(A53="","",J53+K53+H53)</f>
        <v/>
      </c>
      <c r="M53" s="19">
        <f>IF(L53="","",_xlfn.IFS(L53&gt;=90,"S",L53&gt;=82,"A",L53&gt;=70,"B",L53&gt;=60,"C",TRUE,"D"))</f>
        <v/>
      </c>
      <c r="N53" s="33">
        <f>IF(M53="","",_xlfn.IFS(M53="S","특별성과급 (연봉의 15%) + 연봉 인상 10%",M53="A","성과급 (연봉의 10%) + 연봉 인상 7%",M53="B","연봉 인상 3% (물가인상률 보전)",M53="C","동결 (PIP 대상)",TRUE,"동결 (경고 및 보직조정)"))</f>
        <v/>
      </c>
      <c r="O53" s="51" t="n"/>
    </row>
    <row r="54">
      <c r="A54" s="33">
        <f>IF(A10="","",A10)</f>
        <v/>
      </c>
      <c r="B54" s="19">
        <f>B10</f>
        <v/>
      </c>
      <c r="C54" s="55" t="n">
        <v>4</v>
      </c>
      <c r="D54" s="55" t="n">
        <v>4</v>
      </c>
      <c r="E54" s="55" t="n">
        <v>4</v>
      </c>
      <c r="F54" s="55" t="n">
        <v>4</v>
      </c>
      <c r="G54" s="55" t="n">
        <v>4</v>
      </c>
      <c r="H54" s="32">
        <f>IF(A54="","",SUM(C54,D54,E54,F54,G54))</f>
        <v/>
      </c>
      <c r="I54" s="19">
        <f>IF(H54="","",_xlfn.IFS(H54&gt;=27,"S",H54&gt;=24,"A",H54&gt;=21,"B",H54&gt;=18,"C",TRUE,"D"))</f>
        <v/>
      </c>
      <c r="J54" s="32">
        <f>IF(A54="","",F10)</f>
        <v/>
      </c>
      <c r="K54" s="32">
        <f>IF(A54="","",R32)</f>
        <v/>
      </c>
      <c r="L54" s="32">
        <f>IF(A54="","",J54+K54+H54)</f>
        <v/>
      </c>
      <c r="M54" s="19">
        <f>IF(L54="","",_xlfn.IFS(L54&gt;=90,"S",L54&gt;=82,"A",L54&gt;=70,"B",L54&gt;=60,"C",TRUE,"D"))</f>
        <v/>
      </c>
      <c r="N54" s="33">
        <f>IF(M54="","",_xlfn.IFS(M54="S","특별성과급 (연봉의 15%) + 연봉 인상 10%",M54="A","성과급 (연봉의 10%) + 연봉 인상 7%",M54="B","연봉 인상 3% (물가인상률 보전)",M54="C","동결 (PIP 대상)",TRUE,"동결 (경고 및 보직조정)"))</f>
        <v/>
      </c>
      <c r="O54" s="51" t="n"/>
    </row>
    <row r="55">
      <c r="A55" s="33">
        <f>IF(A11="","",A11)</f>
        <v/>
      </c>
      <c r="B55" s="19">
        <f>B11</f>
        <v/>
      </c>
      <c r="C55" s="55" t="n">
        <v>4</v>
      </c>
      <c r="D55" s="55" t="n">
        <v>4</v>
      </c>
      <c r="E55" s="55" t="n">
        <v>4</v>
      </c>
      <c r="F55" s="55" t="n">
        <v>4</v>
      </c>
      <c r="G55" s="55" t="n">
        <v>4</v>
      </c>
      <c r="H55" s="32">
        <f>IF(A55="","",SUM(C55,D55,E55,F55,G55))</f>
        <v/>
      </c>
      <c r="I55" s="19">
        <f>IF(H55="","",_xlfn.IFS(H55&gt;=27,"S",H55&gt;=24,"A",H55&gt;=21,"B",H55&gt;=18,"C",TRUE,"D"))</f>
        <v/>
      </c>
      <c r="J55" s="32">
        <f>IF(A55="","",F11)</f>
        <v/>
      </c>
      <c r="K55" s="32">
        <f>IF(A55="","",R33)</f>
        <v/>
      </c>
      <c r="L55" s="32">
        <f>IF(A55="","",J55+K55+H55)</f>
        <v/>
      </c>
      <c r="M55" s="19">
        <f>IF(L55="","",_xlfn.IFS(L55&gt;=90,"S",L55&gt;=82,"A",L55&gt;=70,"B",L55&gt;=60,"C",TRUE,"D"))</f>
        <v/>
      </c>
      <c r="N55" s="33">
        <f>IF(M55="","",_xlfn.IFS(M55="S","특별성과급 (연봉의 15%) + 연봉 인상 10%",M55="A","성과급 (연봉의 10%) + 연봉 인상 7%",M55="B","연봉 인상 3% (물가인상률 보전)",M55="C","동결 (PIP 대상)",TRUE,"동결 (경고 및 보직조정)"))</f>
        <v/>
      </c>
      <c r="O55" s="51" t="n"/>
    </row>
    <row r="56">
      <c r="A56" s="33">
        <f>IF(A12="","",A12)</f>
        <v/>
      </c>
      <c r="B56" s="19">
        <f>B12</f>
        <v/>
      </c>
      <c r="C56" s="55" t="n">
        <v>4</v>
      </c>
      <c r="D56" s="55" t="n">
        <v>4</v>
      </c>
      <c r="E56" s="55" t="n">
        <v>4</v>
      </c>
      <c r="F56" s="55" t="n">
        <v>4</v>
      </c>
      <c r="G56" s="55" t="n">
        <v>4</v>
      </c>
      <c r="H56" s="32">
        <f>IF(A56="","",SUM(C56,D56,E56,F56,G56))</f>
        <v/>
      </c>
      <c r="I56" s="19">
        <f>IF(H56="","",_xlfn.IFS(H56&gt;=27,"S",H56&gt;=24,"A",H56&gt;=21,"B",H56&gt;=18,"C",TRUE,"D"))</f>
        <v/>
      </c>
      <c r="J56" s="32">
        <f>IF(A56="","",F12)</f>
        <v/>
      </c>
      <c r="K56" s="32">
        <f>IF(A56="","",R34)</f>
        <v/>
      </c>
      <c r="L56" s="32">
        <f>IF(A56="","",J56+K56+H56)</f>
        <v/>
      </c>
      <c r="M56" s="19">
        <f>IF(L56="","",_xlfn.IFS(L56&gt;=90,"S",L56&gt;=82,"A",L56&gt;=70,"B",L56&gt;=60,"C",TRUE,"D"))</f>
        <v/>
      </c>
      <c r="N56" s="33">
        <f>IF(M56="","",_xlfn.IFS(M56="S","특별성과급 (연봉의 15%) + 연봉 인상 10%",M56="A","성과급 (연봉의 10%) + 연봉 인상 7%",M56="B","연봉 인상 3% (물가인상률 보전)",M56="C","동결 (PIP 대상)",TRUE,"동결 (경고 및 보직조정)"))</f>
        <v/>
      </c>
      <c r="O56" s="51" t="n"/>
    </row>
    <row r="57">
      <c r="A57" s="33">
        <f>IF(A13="","",A13)</f>
        <v/>
      </c>
      <c r="B57" s="19">
        <f>B13</f>
        <v/>
      </c>
      <c r="C57" s="55" t="n">
        <v>3</v>
      </c>
      <c r="D57" s="55" t="n">
        <v>3</v>
      </c>
      <c r="E57" s="55" t="n">
        <v>3</v>
      </c>
      <c r="F57" s="55" t="n">
        <v>3</v>
      </c>
      <c r="G57" s="55" t="n">
        <v>3</v>
      </c>
      <c r="H57" s="32">
        <f>IF(A57="","",SUM(C57,D57,E57,F57,G57))</f>
        <v/>
      </c>
      <c r="I57" s="19">
        <f>IF(H57="","",_xlfn.IFS(H57&gt;=27,"S",H57&gt;=24,"A",H57&gt;=21,"B",H57&gt;=18,"C",TRUE,"D"))</f>
        <v/>
      </c>
      <c r="J57" s="32">
        <f>IF(A57="","",F13)</f>
        <v/>
      </c>
      <c r="K57" s="32">
        <f>IF(A57="","",R35)</f>
        <v/>
      </c>
      <c r="L57" s="32">
        <f>IF(A57="","",J57+K57+H57)</f>
        <v/>
      </c>
      <c r="M57" s="19">
        <f>IF(L57="","",_xlfn.IFS(L57&gt;=90,"S",L57&gt;=82,"A",L57&gt;=70,"B",L57&gt;=60,"C",TRUE,"D"))</f>
        <v/>
      </c>
      <c r="N57" s="33">
        <f>IF(M57="","",_xlfn.IFS(M57="S","특별성과급 (연봉의 15%) + 연봉 인상 10%",M57="A","성과급 (연봉의 10%) + 연봉 인상 7%",M57="B","연봉 인상 3% (물가인상률 보전)",M57="C","동결 (PIP 대상)",TRUE,"동결 (경고 및 보직조정)"))</f>
        <v/>
      </c>
      <c r="O57" s="51" t="n"/>
    </row>
    <row r="58">
      <c r="A58" s="33">
        <f>IF(A14="","",A14)</f>
        <v/>
      </c>
      <c r="B58" s="19">
        <f>B14</f>
        <v/>
      </c>
      <c r="C58" s="55" t="n">
        <v>3</v>
      </c>
      <c r="D58" s="55" t="n">
        <v>3</v>
      </c>
      <c r="E58" s="55" t="n">
        <v>3</v>
      </c>
      <c r="F58" s="55" t="n">
        <v>3</v>
      </c>
      <c r="G58" s="55" t="n">
        <v>3</v>
      </c>
      <c r="H58" s="32">
        <f>IF(A58="","",SUM(C58,D58,E58,F58,G58))</f>
        <v/>
      </c>
      <c r="I58" s="19">
        <f>IF(H58="","",_xlfn.IFS(H58&gt;=27,"S",H58&gt;=24,"A",H58&gt;=21,"B",H58&gt;=18,"C",TRUE,"D"))</f>
        <v/>
      </c>
      <c r="J58" s="32">
        <f>IF(A58="","",F14)</f>
        <v/>
      </c>
      <c r="K58" s="32">
        <f>IF(A58="","",R36)</f>
        <v/>
      </c>
      <c r="L58" s="32">
        <f>IF(A58="","",J58+K58+H58)</f>
        <v/>
      </c>
      <c r="M58" s="19">
        <f>IF(L58="","",_xlfn.IFS(L58&gt;=90,"S",L58&gt;=82,"A",L58&gt;=70,"B",L58&gt;=60,"C",TRUE,"D"))</f>
        <v/>
      </c>
      <c r="N58" s="33">
        <f>IF(M58="","",_xlfn.IFS(M58="S","특별성과급 (연봉의 15%) + 연봉 인상 10%",M58="A","성과급 (연봉의 10%) + 연봉 인상 7%",M58="B","연봉 인상 3% (물가인상률 보전)",M58="C","동결 (PIP 대상)",TRUE,"동결 (경고 및 보직조정)"))</f>
        <v/>
      </c>
      <c r="O58" s="51" t="n"/>
    </row>
    <row r="59">
      <c r="A59" s="33">
        <f>IF(A15="","",A15)</f>
        <v/>
      </c>
      <c r="B59" s="19">
        <f>B15</f>
        <v/>
      </c>
      <c r="C59" s="55" t="n">
        <v>2</v>
      </c>
      <c r="D59" s="55" t="n">
        <v>2</v>
      </c>
      <c r="E59" s="55" t="n">
        <v>2</v>
      </c>
      <c r="F59" s="55" t="n">
        <v>2</v>
      </c>
      <c r="G59" s="55" t="n">
        <v>2</v>
      </c>
      <c r="H59" s="32">
        <f>IF(A59="","",SUM(C59,D59,E59,F59,G59))</f>
        <v/>
      </c>
      <c r="I59" s="19">
        <f>IF(H59="","",_xlfn.IFS(H59&gt;=27,"S",H59&gt;=24,"A",H59&gt;=21,"B",H59&gt;=18,"C",TRUE,"D"))</f>
        <v/>
      </c>
      <c r="J59" s="32">
        <f>IF(A59="","",F15)</f>
        <v/>
      </c>
      <c r="K59" s="32">
        <f>IF(A59="","",R37)</f>
        <v/>
      </c>
      <c r="L59" s="32">
        <f>IF(A59="","",J59+K59+H59)</f>
        <v/>
      </c>
      <c r="M59" s="19">
        <f>IF(L59="","",_xlfn.IFS(L59&gt;=90,"S",L59&gt;=82,"A",L59&gt;=70,"B",L59&gt;=60,"C",TRUE,"D"))</f>
        <v/>
      </c>
      <c r="N59" s="33">
        <f>IF(M59="","",_xlfn.IFS(M59="S","특별성과급 (연봉의 15%) + 연봉 인상 10%",M59="A","성과급 (연봉의 10%) + 연봉 인상 7%",M59="B","연봉 인상 3% (물가인상률 보전)",M59="C","동결 (PIP 대상)",TRUE,"동결 (경고 및 보직조정)"))</f>
        <v/>
      </c>
      <c r="O59" s="51" t="n"/>
    </row>
    <row r="60">
      <c r="A60" s="33">
        <f>IF(A16="","",A16)</f>
        <v/>
      </c>
      <c r="B60" s="19">
        <f>B16</f>
        <v/>
      </c>
      <c r="C60" s="55" t="n">
        <v>2</v>
      </c>
      <c r="D60" s="55" t="n">
        <v>2</v>
      </c>
      <c r="E60" s="55" t="n">
        <v>2</v>
      </c>
      <c r="F60" s="55" t="n">
        <v>2</v>
      </c>
      <c r="G60" s="55" t="n">
        <v>2</v>
      </c>
      <c r="H60" s="32">
        <f>IF(A60="","",SUM(C60,D60,E60,F60,G60))</f>
        <v/>
      </c>
      <c r="I60" s="19">
        <f>IF(H60="","",_xlfn.IFS(H60&gt;=27,"S",H60&gt;=24,"A",H60&gt;=21,"B",H60&gt;=18,"C",TRUE,"D"))</f>
        <v/>
      </c>
      <c r="J60" s="32">
        <f>IF(A60="","",F16)</f>
        <v/>
      </c>
      <c r="K60" s="32">
        <f>IF(A60="","",R38)</f>
        <v/>
      </c>
      <c r="L60" s="32">
        <f>IF(A60="","",J60+K60+H60)</f>
        <v/>
      </c>
      <c r="M60" s="19">
        <f>IF(L60="","",_xlfn.IFS(L60&gt;=90,"S",L60&gt;=82,"A",L60&gt;=70,"B",L60&gt;=60,"C",TRUE,"D"))</f>
        <v/>
      </c>
      <c r="N60" s="33">
        <f>IF(M60="","",_xlfn.IFS(M60="S","특별성과급 (연봉의 15%) + 연봉 인상 10%",M60="A","성과급 (연봉의 10%) + 연봉 인상 7%",M60="B","연봉 인상 3% (물가인상률 보전)",M60="C","동결 (PIP 대상)",TRUE,"동결 (경고 및 보직조정)"))</f>
        <v/>
      </c>
      <c r="O60" s="51" t="n"/>
    </row>
    <row r="61">
      <c r="A61" s="33">
        <f>IF(A17="","",A17)</f>
        <v/>
      </c>
      <c r="B61" s="19">
        <f>B17</f>
        <v/>
      </c>
      <c r="C61" s="55" t="n"/>
      <c r="D61" s="55" t="n"/>
      <c r="E61" s="55" t="n"/>
      <c r="F61" s="55" t="n"/>
      <c r="G61" s="55" t="n"/>
      <c r="H61" s="32">
        <f>IF(A61="","",SUM(C61,D61,E61,F61,G61))</f>
        <v/>
      </c>
      <c r="I61" s="19">
        <f>IF(H61="","",_xlfn.IFS(H61&gt;=27,"S",H61&gt;=24,"A",H61&gt;=21,"B",H61&gt;=18,"C",TRUE,"D"))</f>
        <v/>
      </c>
      <c r="J61" s="32">
        <f>IF(A61="","",F17)</f>
        <v/>
      </c>
      <c r="K61" s="32">
        <f>IF(A61="","",R39)</f>
        <v/>
      </c>
      <c r="L61" s="32">
        <f>IF(A61="","",J61+K61+H61)</f>
        <v/>
      </c>
      <c r="M61" s="19">
        <f>IF(L61="","",_xlfn.IFS(L61&gt;=90,"S",L61&gt;=82,"A",L61&gt;=70,"B",L61&gt;=60,"C",TRUE,"D"))</f>
        <v/>
      </c>
      <c r="N61" s="33">
        <f>IF(M61="","",_xlfn.IFS(M61="S","특별성과급 (연봉의 15%) + 연봉 인상 10%",M61="A","성과급 (연봉의 10%) + 연봉 인상 7%",M61="B","연봉 인상 3% (물가인상률 보전)",M61="C","동결 (PIP 대상)",TRUE,"동결 (경고 및 보직조정)"))</f>
        <v/>
      </c>
      <c r="O61" s="51" t="n"/>
    </row>
    <row r="62">
      <c r="A62" s="33">
        <f>IF(A18="","",A18)</f>
        <v/>
      </c>
      <c r="B62" s="19">
        <f>B18</f>
        <v/>
      </c>
      <c r="C62" s="55" t="n"/>
      <c r="D62" s="55" t="n"/>
      <c r="E62" s="55" t="n"/>
      <c r="F62" s="55" t="n"/>
      <c r="G62" s="55" t="n"/>
      <c r="H62" s="32">
        <f>IF(A62="","",SUM(C62,D62,E62,F62,G62))</f>
        <v/>
      </c>
      <c r="I62" s="19">
        <f>IF(H62="","",_xlfn.IFS(H62&gt;=27,"S",H62&gt;=24,"A",H62&gt;=21,"B",H62&gt;=18,"C",TRUE,"D"))</f>
        <v/>
      </c>
      <c r="J62" s="32">
        <f>IF(A62="","",F18)</f>
        <v/>
      </c>
      <c r="K62" s="32">
        <f>IF(A62="","",R40)</f>
        <v/>
      </c>
      <c r="L62" s="32">
        <f>IF(A62="","",J62+K62+H62)</f>
        <v/>
      </c>
      <c r="M62" s="19">
        <f>IF(L62="","",_xlfn.IFS(L62&gt;=90,"S",L62&gt;=82,"A",L62&gt;=70,"B",L62&gt;=60,"C",TRUE,"D"))</f>
        <v/>
      </c>
      <c r="N62" s="33">
        <f>IF(M62="","",_xlfn.IFS(M62="S","특별성과급 (연봉의 15%) + 연봉 인상 10%",M62="A","성과급 (연봉의 10%) + 연봉 인상 7%",M62="B","연봉 인상 3% (물가인상률 보전)",M62="C","동결 (PIP 대상)",TRUE,"동결 (경고 및 보직조정)"))</f>
        <v/>
      </c>
      <c r="O62" s="51" t="n"/>
    </row>
    <row r="63">
      <c r="A63" s="33">
        <f>IF(A19="","",A19)</f>
        <v/>
      </c>
      <c r="B63" s="19">
        <f>B19</f>
        <v/>
      </c>
      <c r="C63" s="55" t="n"/>
      <c r="D63" s="55" t="n"/>
      <c r="E63" s="55" t="n"/>
      <c r="F63" s="55" t="n"/>
      <c r="G63" s="55" t="n"/>
      <c r="H63" s="32">
        <f>IF(A63="","",SUM(C63,D63,E63,F63,G63))</f>
        <v/>
      </c>
      <c r="I63" s="19">
        <f>IF(H63="","",_xlfn.IFS(H63&gt;=27,"S",H63&gt;=24,"A",H63&gt;=21,"B",H63&gt;=18,"C",TRUE,"D"))</f>
        <v/>
      </c>
      <c r="J63" s="32">
        <f>IF(A63="","",F19)</f>
        <v/>
      </c>
      <c r="K63" s="32">
        <f>IF(A63="","",R41)</f>
        <v/>
      </c>
      <c r="L63" s="32">
        <f>IF(A63="","",J63+K63+H63)</f>
        <v/>
      </c>
      <c r="M63" s="19">
        <f>IF(L63="","",_xlfn.IFS(L63&gt;=90,"S",L63&gt;=82,"A",L63&gt;=70,"B",L63&gt;=60,"C",TRUE,"D"))</f>
        <v/>
      </c>
      <c r="N63" s="33">
        <f>IF(M63="","",_xlfn.IFS(M63="S","특별성과급 (연봉의 15%) + 연봉 인상 10%",M63="A","성과급 (연봉의 10%) + 연봉 인상 7%",M63="B","연봉 인상 3% (물가인상률 보전)",M63="C","동결 (PIP 대상)",TRUE,"동결 (경고 및 보직조정)"))</f>
        <v/>
      </c>
      <c r="O63" s="51" t="n"/>
    </row>
    <row r="64">
      <c r="A64" s="33">
        <f>IF(A20="","",A20)</f>
        <v/>
      </c>
      <c r="B64" s="19">
        <f>B20</f>
        <v/>
      </c>
      <c r="C64" s="55" t="n"/>
      <c r="D64" s="55" t="n"/>
      <c r="E64" s="55" t="n"/>
      <c r="F64" s="55" t="n"/>
      <c r="G64" s="55" t="n"/>
      <c r="H64" s="32">
        <f>IF(A64="","",SUM(C64,D64,E64,F64,G64))</f>
        <v/>
      </c>
      <c r="I64" s="19">
        <f>IF(H64="","",_xlfn.IFS(H64&gt;=27,"S",H64&gt;=24,"A",H64&gt;=21,"B",H64&gt;=18,"C",TRUE,"D"))</f>
        <v/>
      </c>
      <c r="J64" s="32">
        <f>IF(A64="","",F20)</f>
        <v/>
      </c>
      <c r="K64" s="32">
        <f>IF(A64="","",R42)</f>
        <v/>
      </c>
      <c r="L64" s="32">
        <f>IF(A64="","",J64+K64+H64)</f>
        <v/>
      </c>
      <c r="M64" s="19">
        <f>IF(L64="","",_xlfn.IFS(L64&gt;=90,"S",L64&gt;=82,"A",L64&gt;=70,"B",L64&gt;=60,"C",TRUE,"D"))</f>
        <v/>
      </c>
      <c r="N64" s="33">
        <f>IF(M64="","",_xlfn.IFS(M64="S","특별성과급 (연봉의 15%) + 연봉 인상 10%",M64="A","성과급 (연봉의 10%) + 연봉 인상 7%",M64="B","연봉 인상 3% (물가인상률 보전)",M64="C","동결 (PIP 대상)",TRUE,"동결 (경고 및 보직조정)"))</f>
        <v/>
      </c>
      <c r="O64" s="51" t="n"/>
    </row>
    <row r="65">
      <c r="A65" s="33">
        <f>IF(A21="","",A21)</f>
        <v/>
      </c>
      <c r="B65" s="19">
        <f>B21</f>
        <v/>
      </c>
      <c r="C65" s="55" t="n"/>
      <c r="D65" s="55" t="n"/>
      <c r="E65" s="55" t="n"/>
      <c r="F65" s="55" t="n"/>
      <c r="G65" s="55" t="n"/>
      <c r="H65" s="32">
        <f>IF(A65="","",SUM(C65,D65,E65,F65,G65))</f>
        <v/>
      </c>
      <c r="I65" s="19">
        <f>IF(H65="","",_xlfn.IFS(H65&gt;=27,"S",H65&gt;=24,"A",H65&gt;=21,"B",H65&gt;=18,"C",TRUE,"D"))</f>
        <v/>
      </c>
      <c r="J65" s="32">
        <f>IF(A65="","",F21)</f>
        <v/>
      </c>
      <c r="K65" s="32">
        <f>IF(A65="","",R43)</f>
        <v/>
      </c>
      <c r="L65" s="32">
        <f>IF(A65="","",J65+K65+H65)</f>
        <v/>
      </c>
      <c r="M65" s="19">
        <f>IF(L65="","",_xlfn.IFS(L65&gt;=90,"S",L65&gt;=82,"A",L65&gt;=70,"B",L65&gt;=60,"C",TRUE,"D"))</f>
        <v/>
      </c>
      <c r="N65" s="33">
        <f>IF(M65="","",_xlfn.IFS(M65="S","특별성과급 (연봉의 15%) + 연봉 인상 10%",M65="A","성과급 (연봉의 10%) + 연봉 인상 7%",M65="B","연봉 인상 3% (물가인상률 보전)",M65="C","동결 (PIP 대상)",TRUE,"동결 (경고 및 보직조정)"))</f>
        <v/>
      </c>
      <c r="O65" s="51" t="n"/>
    </row>
    <row r="66">
      <c r="A66" s="10" t="inlineStr">
        <is>
          <t>팀 평균 / 합계</t>
        </is>
      </c>
      <c r="C66" s="62" t="n"/>
      <c r="D66" s="62" t="n"/>
      <c r="E66" s="62" t="n"/>
      <c r="F66" s="62" t="n"/>
      <c r="G66" s="62" t="n"/>
      <c r="H66" s="34">
        <f>AVERAGE(H51:H65)</f>
        <v/>
      </c>
      <c r="I66" s="10" t="inlineStr">
        <is>
          <t>-</t>
        </is>
      </c>
      <c r="J66" s="34">
        <f>F6</f>
        <v/>
      </c>
      <c r="K66" s="34">
        <f>AVERAGE(K51:K65)</f>
        <v/>
      </c>
      <c r="L66" s="34">
        <f>AVERAGE(L51:L65)</f>
        <v/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</row>
  </sheetData>
  <mergeCells count="42">
    <mergeCell ref="L50:O50"/>
    <mergeCell ref="E1:S1"/>
    <mergeCell ref="A46:I46"/>
    <mergeCell ref="O26:Q26"/>
    <mergeCell ref="A4:G4"/>
    <mergeCell ref="J47:J49"/>
    <mergeCell ref="F26:H26"/>
    <mergeCell ref="A47:A49"/>
    <mergeCell ref="M47:M49"/>
    <mergeCell ref="G47"/>
    <mergeCell ref="O25:Q25"/>
    <mergeCell ref="L26:N26"/>
    <mergeCell ref="H47:H49"/>
    <mergeCell ref="L25:N25"/>
    <mergeCell ref="E47"/>
    <mergeCell ref="A66:B66"/>
    <mergeCell ref="B25:B27"/>
    <mergeCell ref="S25:S27"/>
    <mergeCell ref="B47:B49"/>
    <mergeCell ref="A24:S24"/>
    <mergeCell ref="J46:O46"/>
    <mergeCell ref="A1:D1"/>
    <mergeCell ref="L47:L49"/>
    <mergeCell ref="N47:N49"/>
    <mergeCell ref="I47:I49"/>
    <mergeCell ref="R25:R27"/>
    <mergeCell ref="C47"/>
    <mergeCell ref="A22:B22"/>
    <mergeCell ref="F25:H25"/>
    <mergeCell ref="C50:I50"/>
    <mergeCell ref="A25:A27"/>
    <mergeCell ref="K47:K49"/>
    <mergeCell ref="D47"/>
    <mergeCell ref="C26:E26"/>
    <mergeCell ref="I26:K26"/>
    <mergeCell ref="A44:B44"/>
    <mergeCell ref="F47"/>
    <mergeCell ref="O47:O49"/>
    <mergeCell ref="C28:S28"/>
    <mergeCell ref="A2:S2"/>
    <mergeCell ref="C25:E25"/>
    <mergeCell ref="I25:K25"/>
  </mergeCells>
  <conditionalFormatting sqref="G6:G2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S29:S43">
    <cfRule type="cellIs" priority="6" operator="equal" dxfId="0">
      <formula>"S"</formula>
    </cfRule>
    <cfRule type="cellIs" priority="7" operator="equal" dxfId="1">
      <formula>"A"</formula>
    </cfRule>
    <cfRule type="cellIs" priority="8" operator="equal" dxfId="2">
      <formula>"B"</formula>
    </cfRule>
    <cfRule type="cellIs" priority="9" operator="equal" dxfId="3">
      <formula>"C"</formula>
    </cfRule>
    <cfRule type="cellIs" priority="10" operator="equal" dxfId="4">
      <formula>"D"</formula>
    </cfRule>
  </conditionalFormatting>
  <conditionalFormatting sqref="I51:I65">
    <cfRule type="cellIs" priority="11" operator="equal" dxfId="0">
      <formula>"S"</formula>
    </cfRule>
    <cfRule type="cellIs" priority="12" operator="equal" dxfId="1">
      <formula>"A"</formula>
    </cfRule>
    <cfRule type="cellIs" priority="13" operator="equal" dxfId="2">
      <formula>"B"</formula>
    </cfRule>
    <cfRule type="cellIs" priority="14" operator="equal" dxfId="3">
      <formula>"C"</formula>
    </cfRule>
    <cfRule type="cellIs" priority="15" operator="equal" dxfId="4">
      <formula>"D"</formula>
    </cfRule>
  </conditionalFormatting>
  <conditionalFormatting sqref="M51:M65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"B"</formula>
    </cfRule>
    <cfRule type="cellIs" priority="19" operator="equal" dxfId="3">
      <formula>"C"</formula>
    </cfRule>
    <cfRule type="cellIs" priority="20" operator="equal" dxfId="4">
      <formula>"D"</formula>
    </cfRule>
  </conditionalFormatting>
  <dataValidations count="3">
    <dataValidation sqref="C7:C21 D7:D21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29:D43 F29:G43 I29:J43 L29:M43 O29:P43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51:G65" showDropDown="0" showInputMessage="0" showErrorMessage="0" allowBlank="0" errorTitle="점수 범위 오류" error="0~6 사이의 정수로 입력해주세요." type="whole" operator="between">
      <formula1>0</formula1>
      <formula2>6</formula2>
    </dataValidation>
  </dataValidation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26" customWidth="1" min="14" max="14"/>
    <col width="18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25" t="inlineStr">
        <is>
          <t>🏠 사용안내로 이동</t>
        </is>
      </c>
      <c r="E1" s="25" t="inlineStr">
        <is>
          <t>📊 전사 종합요약 보기</t>
        </is>
      </c>
    </row>
    <row r="2" ht="46" customHeight="1">
      <c r="A2" s="24" t="inlineStr">
        <is>
          <t>BM (Business Management) — 사업을 관리·지원한다   |   ✏️ 이 시트는 잠금이 해제되어 모든 셀을 수정할 수 있습니다. 노란 셀=입력용, 회색 셀=자동계산 수식, 하늘색 셀=고정 항목이니 참고해서 편집하세요. ①결과지표 ②개별성과 ③역량평가+종합 표가 위에서 아래로 나열되어 있으며, 이름·직책은 ①표에 입력하면 ②③표에 자동으로 채워집니다(직접 고쳐도 되지만 그러면 자동연동이 끊깁니다).</t>
        </is>
      </c>
    </row>
    <row r="4">
      <c r="A4" s="4" t="inlineStr">
        <is>
          <t>① 결과지표 · 팀 공동 (50점)</t>
        </is>
      </c>
    </row>
    <row r="5" ht="24" customHeight="1">
      <c r="A5" s="4" t="inlineStr">
        <is>
          <t>이름</t>
        </is>
      </c>
      <c r="B5" s="4" t="inlineStr">
        <is>
          <t>직책</t>
        </is>
      </c>
      <c r="C5" s="4" t="inlineStr">
        <is>
          <t>실적</t>
        </is>
      </c>
      <c r="D5" s="4" t="inlineStr">
        <is>
          <t>목표</t>
        </is>
      </c>
      <c r="E5" s="4" t="inlineStr">
        <is>
          <t>달성률</t>
        </is>
      </c>
      <c r="F5" s="4" t="inlineStr">
        <is>
          <t>점수
(50)</t>
        </is>
      </c>
      <c r="G5" s="4" t="inlineStr">
        <is>
          <t>등급</t>
        </is>
      </c>
    </row>
    <row r="6">
      <c r="A6" s="51" t="inlineStr">
        <is>
          <t>변사또(예시)</t>
        </is>
      </c>
      <c r="B6" s="52" t="inlineStr">
        <is>
          <t>팀리더</t>
        </is>
      </c>
      <c r="C6" s="40">
        <f>SUM(C7:C21)</f>
        <v/>
      </c>
      <c r="D6" s="53" t="n">
        <v>20</v>
      </c>
      <c r="E6" s="54">
        <f>IF(D6=0,"",C6/D6)</f>
        <v/>
      </c>
      <c r="F6" s="32">
        <f>IF(E6="","",MIN(E6*50,50))</f>
        <v/>
      </c>
      <c r="G6" s="19">
        <f>IF(F6="","",_xlfn.IFS(F6&gt;=48,"S",F6&gt;=45,"A",F6&gt;=42,"B",F6&gt;=38,"C",TRUE,"D"))</f>
        <v/>
      </c>
    </row>
    <row r="7">
      <c r="A7" s="51" t="inlineStr">
        <is>
          <t>육예린(예시)</t>
        </is>
      </c>
      <c r="B7" s="19" t="inlineStr">
        <is>
          <t>팀원</t>
        </is>
      </c>
      <c r="C7" s="55" t="n">
        <v>6</v>
      </c>
      <c r="D7" s="55" t="n">
        <v>5</v>
      </c>
      <c r="E7" s="54">
        <f>IF(OR(A7="",D7=""),"",C7/D7)</f>
        <v/>
      </c>
      <c r="F7" s="32">
        <f>IF(A7="","",F6)</f>
        <v/>
      </c>
      <c r="G7" s="19">
        <f>IF(A7="","",G6)</f>
        <v/>
      </c>
    </row>
    <row r="8">
      <c r="A8" s="51" t="inlineStr">
        <is>
          <t>곽태산(예시)</t>
        </is>
      </c>
      <c r="B8" s="19" t="inlineStr">
        <is>
          <t>팀원</t>
        </is>
      </c>
      <c r="C8" s="55" t="n">
        <v>5</v>
      </c>
      <c r="D8" s="55" t="n">
        <v>5</v>
      </c>
      <c r="E8" s="54">
        <f>IF(OR(A8="",D8=""),"",C8/D8)</f>
        <v/>
      </c>
      <c r="F8" s="32">
        <f>IF(A8="","",F6)</f>
        <v/>
      </c>
      <c r="G8" s="19">
        <f>IF(A8="","",G6)</f>
        <v/>
      </c>
    </row>
    <row r="9">
      <c r="A9" s="51" t="inlineStr">
        <is>
          <t>편지영(예시)</t>
        </is>
      </c>
      <c r="B9" s="19" t="inlineStr">
        <is>
          <t>팀원</t>
        </is>
      </c>
      <c r="C9" s="55" t="n">
        <v>5</v>
      </c>
      <c r="D9" s="55" t="n">
        <v>5</v>
      </c>
      <c r="E9" s="54">
        <f>IF(OR(A9="",D9=""),"",C9/D9)</f>
        <v/>
      </c>
      <c r="F9" s="32">
        <f>IF(A9="","",F6)</f>
        <v/>
      </c>
      <c r="G9" s="19">
        <f>IF(A9="","",G6)</f>
        <v/>
      </c>
    </row>
    <row r="10">
      <c r="A10" s="51" t="inlineStr">
        <is>
          <t>탁수진(예시)</t>
        </is>
      </c>
      <c r="B10" s="19" t="inlineStr">
        <is>
          <t>팀원</t>
        </is>
      </c>
      <c r="C10" s="55" t="n">
        <v>4</v>
      </c>
      <c r="D10" s="55" t="n">
        <v>5</v>
      </c>
      <c r="E10" s="54">
        <f>IF(OR(A10="",D10=""),"",C10/D10)</f>
        <v/>
      </c>
      <c r="F10" s="32">
        <f>IF(A10="","",F6)</f>
        <v/>
      </c>
      <c r="G10" s="19">
        <f>IF(A10="","",G6)</f>
        <v/>
      </c>
    </row>
    <row r="11">
      <c r="A11" s="51" t="inlineStr">
        <is>
          <t>나윤서(예시)</t>
        </is>
      </c>
      <c r="B11" s="19" t="inlineStr">
        <is>
          <t>팀원</t>
        </is>
      </c>
      <c r="C11" s="55" t="n">
        <v>4</v>
      </c>
      <c r="D11" s="55" t="n">
        <v>5</v>
      </c>
      <c r="E11" s="54">
        <f>IF(OR(A11="",D11=""),"",C11/D11)</f>
        <v/>
      </c>
      <c r="F11" s="32">
        <f>IF(A11="","",F6)</f>
        <v/>
      </c>
      <c r="G11" s="19">
        <f>IF(A11="","",G6)</f>
        <v/>
      </c>
    </row>
    <row r="12">
      <c r="A12" s="51" t="inlineStr">
        <is>
          <t>마도현(예시)</t>
        </is>
      </c>
      <c r="B12" s="19" t="inlineStr">
        <is>
          <t>팀원</t>
        </is>
      </c>
      <c r="C12" s="55" t="n">
        <v>4</v>
      </c>
      <c r="D12" s="55" t="n">
        <v>5</v>
      </c>
      <c r="E12" s="54">
        <f>IF(OR(A12="",D12=""),"",C12/D12)</f>
        <v/>
      </c>
      <c r="F12" s="32">
        <f>IF(A12="","",F6)</f>
        <v/>
      </c>
      <c r="G12" s="19">
        <f>IF(A12="","",G6)</f>
        <v/>
      </c>
    </row>
    <row r="13">
      <c r="A13" s="51" t="inlineStr">
        <is>
          <t>라시은(예시)</t>
        </is>
      </c>
      <c r="B13" s="19" t="inlineStr">
        <is>
          <t>팀원</t>
        </is>
      </c>
      <c r="C13" s="55" t="n">
        <v>3</v>
      </c>
      <c r="D13" s="55" t="n">
        <v>5</v>
      </c>
      <c r="E13" s="54">
        <f>IF(OR(A13="",D13=""),"",C13/D13)</f>
        <v/>
      </c>
      <c r="F13" s="32">
        <f>IF(A13="","",F6)</f>
        <v/>
      </c>
      <c r="G13" s="19">
        <f>IF(A13="","",G6)</f>
        <v/>
      </c>
    </row>
    <row r="14">
      <c r="A14" s="51" t="inlineStr">
        <is>
          <t>표승민(예시)</t>
        </is>
      </c>
      <c r="B14" s="19" t="inlineStr">
        <is>
          <t>팀원</t>
        </is>
      </c>
      <c r="C14" s="55" t="n">
        <v>3</v>
      </c>
      <c r="D14" s="55" t="n">
        <v>5</v>
      </c>
      <c r="E14" s="54">
        <f>IF(OR(A14="",D14=""),"",C14/D14)</f>
        <v/>
      </c>
      <c r="F14" s="32">
        <f>IF(A14="","",F6)</f>
        <v/>
      </c>
      <c r="G14" s="19">
        <f>IF(A14="","",G6)</f>
        <v/>
      </c>
    </row>
    <row r="15">
      <c r="A15" s="51" t="inlineStr">
        <is>
          <t>우지안(예시)</t>
        </is>
      </c>
      <c r="B15" s="19" t="inlineStr">
        <is>
          <t>팀원</t>
        </is>
      </c>
      <c r="C15" s="55" t="n">
        <v>2</v>
      </c>
      <c r="D15" s="55" t="n">
        <v>5</v>
      </c>
      <c r="E15" s="54">
        <f>IF(OR(A15="",D15=""),"",C15/D15)</f>
        <v/>
      </c>
      <c r="F15" s="32">
        <f>IF(A15="","",F6)</f>
        <v/>
      </c>
      <c r="G15" s="19">
        <f>IF(A15="","",G6)</f>
        <v/>
      </c>
    </row>
    <row r="16">
      <c r="A16" s="51" t="inlineStr">
        <is>
          <t>함서율(예시)</t>
        </is>
      </c>
      <c r="B16" s="19" t="inlineStr">
        <is>
          <t>팀원</t>
        </is>
      </c>
      <c r="C16" s="55" t="n">
        <v>2</v>
      </c>
      <c r="D16" s="55" t="n">
        <v>5</v>
      </c>
      <c r="E16" s="54">
        <f>IF(OR(A16="",D16=""),"",C16/D16)</f>
        <v/>
      </c>
      <c r="F16" s="32">
        <f>IF(A16="","",F6)</f>
        <v/>
      </c>
      <c r="G16" s="19">
        <f>IF(A16="","",G6)</f>
        <v/>
      </c>
    </row>
    <row r="17">
      <c r="A17" s="51" t="n"/>
      <c r="B17" s="19" t="inlineStr">
        <is>
          <t>팀원</t>
        </is>
      </c>
      <c r="C17" s="55" t="n"/>
      <c r="D17" s="55" t="n"/>
      <c r="E17" s="54">
        <f>IF(OR(A17="",D17=""),"",C17/D17)</f>
        <v/>
      </c>
      <c r="F17" s="32">
        <f>IF(A17="","",F6)</f>
        <v/>
      </c>
      <c r="G17" s="19">
        <f>IF(A17="","",G6)</f>
        <v/>
      </c>
    </row>
    <row r="18">
      <c r="A18" s="51" t="n"/>
      <c r="B18" s="19" t="inlineStr">
        <is>
          <t>팀원</t>
        </is>
      </c>
      <c r="C18" s="55" t="n"/>
      <c r="D18" s="55" t="n"/>
      <c r="E18" s="54">
        <f>IF(OR(A18="",D18=""),"",C18/D18)</f>
        <v/>
      </c>
      <c r="F18" s="32">
        <f>IF(A18="","",F6)</f>
        <v/>
      </c>
      <c r="G18" s="19">
        <f>IF(A18="","",G6)</f>
        <v/>
      </c>
    </row>
    <row r="19">
      <c r="A19" s="51" t="n"/>
      <c r="B19" s="19" t="inlineStr">
        <is>
          <t>팀원</t>
        </is>
      </c>
      <c r="C19" s="55" t="n"/>
      <c r="D19" s="55" t="n"/>
      <c r="E19" s="54">
        <f>IF(OR(A19="",D19=""),"",C19/D19)</f>
        <v/>
      </c>
      <c r="F19" s="32">
        <f>IF(A19="","",F6)</f>
        <v/>
      </c>
      <c r="G19" s="19">
        <f>IF(A19="","",G6)</f>
        <v/>
      </c>
    </row>
    <row r="20">
      <c r="A20" s="51" t="n"/>
      <c r="B20" s="19" t="inlineStr">
        <is>
          <t>팀원</t>
        </is>
      </c>
      <c r="C20" s="55" t="n"/>
      <c r="D20" s="55" t="n"/>
      <c r="E20" s="54">
        <f>IF(OR(A20="",D20=""),"",C20/D20)</f>
        <v/>
      </c>
      <c r="F20" s="32">
        <f>IF(A20="","",F6)</f>
        <v/>
      </c>
      <c r="G20" s="19">
        <f>IF(A20="","",G6)</f>
        <v/>
      </c>
    </row>
    <row r="21">
      <c r="A21" s="51" t="n"/>
      <c r="B21" s="19" t="inlineStr">
        <is>
          <t>팀원</t>
        </is>
      </c>
      <c r="C21" s="55" t="n"/>
      <c r="D21" s="55" t="n"/>
      <c r="E21" s="54">
        <f>IF(OR(A21="",D21=""),"",C21/D21)</f>
        <v/>
      </c>
      <c r="F21" s="32">
        <f>IF(A21="","",F6)</f>
        <v/>
      </c>
      <c r="G21" s="19">
        <f>IF(A21="","",G6)</f>
        <v/>
      </c>
    </row>
    <row r="22">
      <c r="A22" s="10" t="inlineStr">
        <is>
          <t>팀 평균 / 합계</t>
        </is>
      </c>
      <c r="C22" s="56">
        <f>SUM(C7:C21)</f>
        <v/>
      </c>
      <c r="D22" s="10" t="inlineStr">
        <is>
          <t>-</t>
        </is>
      </c>
      <c r="E22" s="10" t="inlineStr">
        <is>
          <t>-</t>
        </is>
      </c>
      <c r="F22" s="34">
        <f>F6</f>
        <v/>
      </c>
      <c r="G22" s="10">
        <f>G6</f>
        <v/>
      </c>
    </row>
    <row r="24">
      <c r="A24" s="6" t="inlineStr">
        <is>
          <t>② 개별성과 · 정량 (과정지표Ⅰ, 20점)</t>
        </is>
      </c>
    </row>
    <row r="25" ht="30" customHeight="1">
      <c r="A25" s="2" t="inlineStr">
        <is>
          <t>이름
(①표 자동)</t>
        </is>
      </c>
      <c r="B25" s="2" t="inlineStr">
        <is>
          <t>직책
(①표 자동)</t>
        </is>
      </c>
      <c r="C25" s="58" t="inlineStr">
        <is>
          <t>1. (예시) 법무검토 지원</t>
        </is>
      </c>
      <c r="F25" s="58" t="inlineStr">
        <is>
          <t>2. (예시) 회계결산 처리</t>
        </is>
      </c>
      <c r="I25" s="58" t="inlineStr">
        <is>
          <t>3. (예시) 채용전형 지원</t>
        </is>
      </c>
      <c r="L25" s="58" t="inlineStr">
        <is>
          <t>4. (예시) 사내 행정지원</t>
        </is>
      </c>
      <c r="O25" s="58" t="inlineStr">
        <is>
          <t>5. (예시) 경영 리포트 작성</t>
        </is>
      </c>
      <c r="R25" s="6" t="inlineStr">
        <is>
          <t>소계
(20)</t>
        </is>
      </c>
      <c r="S25" s="6" t="inlineStr">
        <is>
          <t>등급</t>
        </is>
      </c>
    </row>
    <row r="26" ht="42" customHeight="1">
      <c r="C26" s="21" t="inlineStr">
        <is>
          <t>이 항목명은 예시입니다. 팀 고유 KPI로 교체하세요.
계산식 예시: 실적 ÷ 목표 × 4점 = 점수</t>
        </is>
      </c>
      <c r="F26" s="21" t="inlineStr">
        <is>
          <t>이 항목명은 예시입니다. 팀 고유 KPI로 교체하세요.
계산식 예시: 실적 ÷ 목표 × 4점 = 점수</t>
        </is>
      </c>
      <c r="I26" s="21" t="inlineStr">
        <is>
          <t>이 항목명은 예시입니다. 팀 고유 KPI로 교체하세요.
계산식 예시: 실적 ÷ 목표 × 4점 = 점수</t>
        </is>
      </c>
      <c r="L26" s="21" t="inlineStr">
        <is>
          <t>이 항목명은 예시입니다. 팀 고유 KPI로 교체하세요.
계산식 예시: 실적 ÷ 목표 × 4점 = 점수</t>
        </is>
      </c>
      <c r="O26" s="21" t="inlineStr">
        <is>
          <t>이 항목명은 예시입니다. 팀 고유 KPI로 교체하세요.
계산식 예시: 실적 ÷ 목표 × 4점 = 점수</t>
        </is>
      </c>
    </row>
    <row r="27" ht="22" customHeight="1">
      <c r="C27" s="60" t="inlineStr">
        <is>
          <t>실적</t>
        </is>
      </c>
      <c r="D27" s="60" t="inlineStr">
        <is>
          <t>목표</t>
        </is>
      </c>
      <c r="E27" s="60" t="inlineStr">
        <is>
          <t>점수
(4)</t>
        </is>
      </c>
      <c r="F27" s="60" t="inlineStr">
        <is>
          <t>실적</t>
        </is>
      </c>
      <c r="G27" s="60" t="inlineStr">
        <is>
          <t>목표</t>
        </is>
      </c>
      <c r="H27" s="60" t="inlineStr">
        <is>
          <t>점수
(4)</t>
        </is>
      </c>
      <c r="I27" s="60" t="inlineStr">
        <is>
          <t>실적</t>
        </is>
      </c>
      <c r="J27" s="60" t="inlineStr">
        <is>
          <t>목표</t>
        </is>
      </c>
      <c r="K27" s="60" t="inlineStr">
        <is>
          <t>점수
(4)</t>
        </is>
      </c>
      <c r="L27" s="60" t="inlineStr">
        <is>
          <t>실적</t>
        </is>
      </c>
      <c r="M27" s="60" t="inlineStr">
        <is>
          <t>목표</t>
        </is>
      </c>
      <c r="N27" s="60" t="inlineStr">
        <is>
          <t>점수
(4)</t>
        </is>
      </c>
      <c r="O27" s="60" t="inlineStr">
        <is>
          <t>실적</t>
        </is>
      </c>
      <c r="P27" s="60" t="inlineStr">
        <is>
          <t>목표</t>
        </is>
      </c>
      <c r="Q27" s="60" t="inlineStr">
        <is>
          <t>점수
(4)</t>
        </is>
      </c>
    </row>
    <row r="28" ht="30" customHeight="1">
      <c r="A28" s="33">
        <f>IF(A6="","",A6)</f>
        <v/>
      </c>
      <c r="B28" s="19">
        <f>B6</f>
        <v/>
      </c>
      <c r="C28" s="61" t="inlineStr">
        <is>
          <t>팀리더는 개별성과(정량) 항목 해당 없음 — 팀 결과지표·역량평가 중심으로 평가</t>
        </is>
      </c>
    </row>
    <row r="29">
      <c r="A29" s="33">
        <f>IF(A7="","",A7)</f>
        <v/>
      </c>
      <c r="B29" s="19">
        <f>B7</f>
        <v/>
      </c>
      <c r="C29" s="55" t="n">
        <v>9</v>
      </c>
      <c r="D29" s="55" t="n">
        <v>8</v>
      </c>
      <c r="E29" s="32">
        <f>IF(OR(A29="",D29="",D29=0),"",MIN(C29/D29*4,4))</f>
        <v/>
      </c>
      <c r="F29" s="55" t="n">
        <v>12</v>
      </c>
      <c r="G29" s="55" t="n">
        <v>10</v>
      </c>
      <c r="H29" s="32">
        <f>IF(OR(A29="",G29="",G29=0),"",MIN(F29/G29*4,4))</f>
        <v/>
      </c>
      <c r="I29" s="55" t="n">
        <v>7</v>
      </c>
      <c r="J29" s="55" t="n">
        <v>6</v>
      </c>
      <c r="K29" s="32">
        <f>IF(OR(A29="",J29="",J29=0),"",MIN(I29/J29*4,4))</f>
        <v/>
      </c>
      <c r="L29" s="55" t="n">
        <v>12</v>
      </c>
      <c r="M29" s="55" t="n">
        <v>10</v>
      </c>
      <c r="N29" s="32">
        <f>IF(OR(A29="",M29="",M29=0),"",MIN(L29/M29*4,4))</f>
        <v/>
      </c>
      <c r="O29" s="55" t="n">
        <v>5</v>
      </c>
      <c r="P29" s="55" t="n">
        <v>4</v>
      </c>
      <c r="Q29" s="32">
        <f>IF(OR(A29="",P29="",P29=0),"",MIN(O29/P29*4,4))</f>
        <v/>
      </c>
      <c r="R29" s="32">
        <f>IF(A29="","",SUM(E29,H29,K29,N29,Q29))</f>
        <v/>
      </c>
      <c r="S29" s="19">
        <f>IF(R29="","",_xlfn.IFS(R29&gt;=18,"S",R29&gt;=16,"A",R29&gt;=14,"B",R29&gt;=11,"C",TRUE,"D"))</f>
        <v/>
      </c>
    </row>
    <row r="30">
      <c r="A30" s="33">
        <f>IF(A8="","",A8)</f>
        <v/>
      </c>
      <c r="B30" s="19">
        <f>B8</f>
        <v/>
      </c>
      <c r="C30" s="55" t="n">
        <v>8</v>
      </c>
      <c r="D30" s="55" t="n">
        <v>8</v>
      </c>
      <c r="E30" s="32">
        <f>IF(OR(A30="",D30="",D30=0),"",MIN(C30/D30*4,4))</f>
        <v/>
      </c>
      <c r="F30" s="55" t="n">
        <v>10</v>
      </c>
      <c r="G30" s="55" t="n">
        <v>10</v>
      </c>
      <c r="H30" s="32">
        <f>IF(OR(A30="",G30="",G30=0),"",MIN(F30/G30*4,4))</f>
        <v/>
      </c>
      <c r="I30" s="55" t="n">
        <v>6</v>
      </c>
      <c r="J30" s="55" t="n">
        <v>6</v>
      </c>
      <c r="K30" s="32">
        <f>IF(OR(A30="",J30="",J30=0),"",MIN(I30/J30*4,4))</f>
        <v/>
      </c>
      <c r="L30" s="55" t="n">
        <v>10</v>
      </c>
      <c r="M30" s="55" t="n">
        <v>10</v>
      </c>
      <c r="N30" s="32">
        <f>IF(OR(A30="",M30="",M30=0),"",MIN(L30/M30*4,4))</f>
        <v/>
      </c>
      <c r="O30" s="55" t="n">
        <v>4</v>
      </c>
      <c r="P30" s="55" t="n">
        <v>4</v>
      </c>
      <c r="Q30" s="32">
        <f>IF(OR(A30="",P30="",P30=0),"",MIN(O30/P30*4,4))</f>
        <v/>
      </c>
      <c r="R30" s="32">
        <f>IF(A30="","",SUM(E30,H30,K30,N30,Q30))</f>
        <v/>
      </c>
      <c r="S30" s="19">
        <f>IF(R30="","",_xlfn.IFS(R30&gt;=18,"S",R30&gt;=16,"A",R30&gt;=14,"B",R30&gt;=11,"C",TRUE,"D"))</f>
        <v/>
      </c>
    </row>
    <row r="31">
      <c r="A31" s="33">
        <f>IF(A9="","",A9)</f>
        <v/>
      </c>
      <c r="B31" s="19">
        <f>B9</f>
        <v/>
      </c>
      <c r="C31" s="55" t="n">
        <v>8</v>
      </c>
      <c r="D31" s="55" t="n">
        <v>8</v>
      </c>
      <c r="E31" s="32">
        <f>IF(OR(A31="",D31="",D31=0),"",MIN(C31/D31*4,4))</f>
        <v/>
      </c>
      <c r="F31" s="55" t="n">
        <v>10</v>
      </c>
      <c r="G31" s="55" t="n">
        <v>10</v>
      </c>
      <c r="H31" s="32">
        <f>IF(OR(A31="",G31="",G31=0),"",MIN(F31/G31*4,4))</f>
        <v/>
      </c>
      <c r="I31" s="55" t="n">
        <v>6</v>
      </c>
      <c r="J31" s="55" t="n">
        <v>6</v>
      </c>
      <c r="K31" s="32">
        <f>IF(OR(A31="",J31="",J31=0),"",MIN(I31/J31*4,4))</f>
        <v/>
      </c>
      <c r="L31" s="55" t="n">
        <v>10</v>
      </c>
      <c r="M31" s="55" t="n">
        <v>10</v>
      </c>
      <c r="N31" s="32">
        <f>IF(OR(A31="",M31="",M31=0),"",MIN(L31/M31*4,4))</f>
        <v/>
      </c>
      <c r="O31" s="55" t="n">
        <v>4</v>
      </c>
      <c r="P31" s="55" t="n">
        <v>4</v>
      </c>
      <c r="Q31" s="32">
        <f>IF(OR(A31="",P31="",P31=0),"",MIN(O31/P31*4,4))</f>
        <v/>
      </c>
      <c r="R31" s="32">
        <f>IF(A31="","",SUM(E31,H31,K31,N31,Q31))</f>
        <v/>
      </c>
      <c r="S31" s="19">
        <f>IF(R31="","",_xlfn.IFS(R31&gt;=18,"S",R31&gt;=16,"A",R31&gt;=14,"B",R31&gt;=11,"C",TRUE,"D"))</f>
        <v/>
      </c>
    </row>
    <row r="32">
      <c r="A32" s="33">
        <f>IF(A10="","",A10)</f>
        <v/>
      </c>
      <c r="B32" s="19">
        <f>B10</f>
        <v/>
      </c>
      <c r="C32" s="55" t="n">
        <v>7</v>
      </c>
      <c r="D32" s="55" t="n">
        <v>8</v>
      </c>
      <c r="E32" s="32">
        <f>IF(OR(A32="",D32="",D32=0),"",MIN(C32/D32*4,4))</f>
        <v/>
      </c>
      <c r="F32" s="55" t="n">
        <v>9</v>
      </c>
      <c r="G32" s="55" t="n">
        <v>10</v>
      </c>
      <c r="H32" s="32">
        <f>IF(OR(A32="",G32="",G32=0),"",MIN(F32/G32*4,4))</f>
        <v/>
      </c>
      <c r="I32" s="55" t="n">
        <v>5</v>
      </c>
      <c r="J32" s="55" t="n">
        <v>6</v>
      </c>
      <c r="K32" s="32">
        <f>IF(OR(A32="",J32="",J32=0),"",MIN(I32/J32*4,4))</f>
        <v/>
      </c>
      <c r="L32" s="55" t="n">
        <v>9</v>
      </c>
      <c r="M32" s="55" t="n">
        <v>10</v>
      </c>
      <c r="N32" s="32">
        <f>IF(OR(A32="",M32="",M32=0),"",MIN(L32/M32*4,4))</f>
        <v/>
      </c>
      <c r="O32" s="55" t="n">
        <v>4</v>
      </c>
      <c r="P32" s="55" t="n">
        <v>4</v>
      </c>
      <c r="Q32" s="32">
        <f>IF(OR(A32="",P32="",P32=0),"",MIN(O32/P32*4,4))</f>
        <v/>
      </c>
      <c r="R32" s="32">
        <f>IF(A32="","",SUM(E32,H32,K32,N32,Q32))</f>
        <v/>
      </c>
      <c r="S32" s="19">
        <f>IF(R32="","",_xlfn.IFS(R32&gt;=18,"S",R32&gt;=16,"A",R32&gt;=14,"B",R32&gt;=11,"C",TRUE,"D"))</f>
        <v/>
      </c>
    </row>
    <row r="33">
      <c r="A33" s="33">
        <f>IF(A11="","",A11)</f>
        <v/>
      </c>
      <c r="B33" s="19">
        <f>B11</f>
        <v/>
      </c>
      <c r="C33" s="55" t="n">
        <v>7</v>
      </c>
      <c r="D33" s="55" t="n">
        <v>8</v>
      </c>
      <c r="E33" s="32">
        <f>IF(OR(A33="",D33="",D33=0),"",MIN(C33/D33*4,4))</f>
        <v/>
      </c>
      <c r="F33" s="55" t="n">
        <v>8</v>
      </c>
      <c r="G33" s="55" t="n">
        <v>10</v>
      </c>
      <c r="H33" s="32">
        <f>IF(OR(A33="",G33="",G33=0),"",MIN(F33/G33*4,4))</f>
        <v/>
      </c>
      <c r="I33" s="55" t="n">
        <v>5</v>
      </c>
      <c r="J33" s="55" t="n">
        <v>6</v>
      </c>
      <c r="K33" s="32">
        <f>IF(OR(A33="",J33="",J33=0),"",MIN(I33/J33*4,4))</f>
        <v/>
      </c>
      <c r="L33" s="55" t="n">
        <v>8</v>
      </c>
      <c r="M33" s="55" t="n">
        <v>10</v>
      </c>
      <c r="N33" s="32">
        <f>IF(OR(A33="",M33="",M33=0),"",MIN(L33/M33*4,4))</f>
        <v/>
      </c>
      <c r="O33" s="55" t="n">
        <v>3</v>
      </c>
      <c r="P33" s="55" t="n">
        <v>4</v>
      </c>
      <c r="Q33" s="32">
        <f>IF(OR(A33="",P33="",P33=0),"",MIN(O33/P33*4,4))</f>
        <v/>
      </c>
      <c r="R33" s="32">
        <f>IF(A33="","",SUM(E33,H33,K33,N33,Q33))</f>
        <v/>
      </c>
      <c r="S33" s="19">
        <f>IF(R33="","",_xlfn.IFS(R33&gt;=18,"S",R33&gt;=16,"A",R33&gt;=14,"B",R33&gt;=11,"C",TRUE,"D"))</f>
        <v/>
      </c>
    </row>
    <row r="34">
      <c r="A34" s="33">
        <f>IF(A12="","",A12)</f>
        <v/>
      </c>
      <c r="B34" s="19">
        <f>B12</f>
        <v/>
      </c>
      <c r="C34" s="55" t="n">
        <v>6</v>
      </c>
      <c r="D34" s="55" t="n">
        <v>8</v>
      </c>
      <c r="E34" s="32">
        <f>IF(OR(A34="",D34="",D34=0),"",MIN(C34/D34*4,4))</f>
        <v/>
      </c>
      <c r="F34" s="55" t="n">
        <v>7</v>
      </c>
      <c r="G34" s="55" t="n">
        <v>10</v>
      </c>
      <c r="H34" s="32">
        <f>IF(OR(A34="",G34="",G34=0),"",MIN(F34/G34*4,4))</f>
        <v/>
      </c>
      <c r="I34" s="55" t="n">
        <v>4</v>
      </c>
      <c r="J34" s="55" t="n">
        <v>6</v>
      </c>
      <c r="K34" s="32">
        <f>IF(OR(A34="",J34="",J34=0),"",MIN(I34/J34*4,4))</f>
        <v/>
      </c>
      <c r="L34" s="55" t="n">
        <v>7</v>
      </c>
      <c r="M34" s="55" t="n">
        <v>10</v>
      </c>
      <c r="N34" s="32">
        <f>IF(OR(A34="",M34="",M34=0),"",MIN(L34/M34*4,4))</f>
        <v/>
      </c>
      <c r="O34" s="55" t="n">
        <v>3</v>
      </c>
      <c r="P34" s="55" t="n">
        <v>4</v>
      </c>
      <c r="Q34" s="32">
        <f>IF(OR(A34="",P34="",P34=0),"",MIN(O34/P34*4,4))</f>
        <v/>
      </c>
      <c r="R34" s="32">
        <f>IF(A34="","",SUM(E34,H34,K34,N34,Q34))</f>
        <v/>
      </c>
      <c r="S34" s="19">
        <f>IF(R34="","",_xlfn.IFS(R34&gt;=18,"S",R34&gt;=16,"A",R34&gt;=14,"B",R34&gt;=11,"C",TRUE,"D"))</f>
        <v/>
      </c>
    </row>
    <row r="35">
      <c r="A35" s="33">
        <f>IF(A13="","",A13)</f>
        <v/>
      </c>
      <c r="B35" s="19">
        <f>B13</f>
        <v/>
      </c>
      <c r="C35" s="55" t="n">
        <v>5</v>
      </c>
      <c r="D35" s="55" t="n">
        <v>8</v>
      </c>
      <c r="E35" s="32">
        <f>IF(OR(A35="",D35="",D35=0),"",MIN(C35/D35*4,4))</f>
        <v/>
      </c>
      <c r="F35" s="55" t="n">
        <v>7</v>
      </c>
      <c r="G35" s="55" t="n">
        <v>10</v>
      </c>
      <c r="H35" s="32">
        <f>IF(OR(A35="",G35="",G35=0),"",MIN(F35/G35*4,4))</f>
        <v/>
      </c>
      <c r="I35" s="55" t="n">
        <v>4</v>
      </c>
      <c r="J35" s="55" t="n">
        <v>6</v>
      </c>
      <c r="K35" s="32">
        <f>IF(OR(A35="",J35="",J35=0),"",MIN(I35/J35*4,4))</f>
        <v/>
      </c>
      <c r="L35" s="55" t="n">
        <v>7</v>
      </c>
      <c r="M35" s="55" t="n">
        <v>10</v>
      </c>
      <c r="N35" s="32">
        <f>IF(OR(A35="",M35="",M35=0),"",MIN(L35/M35*4,4))</f>
        <v/>
      </c>
      <c r="O35" s="55" t="n">
        <v>3</v>
      </c>
      <c r="P35" s="55" t="n">
        <v>4</v>
      </c>
      <c r="Q35" s="32">
        <f>IF(OR(A35="",P35="",P35=0),"",MIN(O35/P35*4,4))</f>
        <v/>
      </c>
      <c r="R35" s="32">
        <f>IF(A35="","",SUM(E35,H35,K35,N35,Q35))</f>
        <v/>
      </c>
      <c r="S35" s="19">
        <f>IF(R35="","",_xlfn.IFS(R35&gt;=18,"S",R35&gt;=16,"A",R35&gt;=14,"B",R35&gt;=11,"C",TRUE,"D"))</f>
        <v/>
      </c>
    </row>
    <row r="36">
      <c r="A36" s="33">
        <f>IF(A14="","",A14)</f>
        <v/>
      </c>
      <c r="B36" s="19">
        <f>B14</f>
        <v/>
      </c>
      <c r="C36" s="55" t="n">
        <v>5</v>
      </c>
      <c r="D36" s="55" t="n">
        <v>8</v>
      </c>
      <c r="E36" s="32">
        <f>IF(OR(A36="",D36="",D36=0),"",MIN(C36/D36*4,4))</f>
        <v/>
      </c>
      <c r="F36" s="55" t="n">
        <v>6</v>
      </c>
      <c r="G36" s="55" t="n">
        <v>10</v>
      </c>
      <c r="H36" s="32">
        <f>IF(OR(A36="",G36="",G36=0),"",MIN(F36/G36*4,4))</f>
        <v/>
      </c>
      <c r="I36" s="55" t="n">
        <v>3</v>
      </c>
      <c r="J36" s="55" t="n">
        <v>6</v>
      </c>
      <c r="K36" s="32">
        <f>IF(OR(A36="",J36="",J36=0),"",MIN(I36/J36*4,4))</f>
        <v/>
      </c>
      <c r="L36" s="55" t="n">
        <v>6</v>
      </c>
      <c r="M36" s="55" t="n">
        <v>10</v>
      </c>
      <c r="N36" s="32">
        <f>IF(OR(A36="",M36="",M36=0),"",MIN(L36/M36*4,4))</f>
        <v/>
      </c>
      <c r="O36" s="55" t="n">
        <v>2</v>
      </c>
      <c r="P36" s="55" t="n">
        <v>4</v>
      </c>
      <c r="Q36" s="32">
        <f>IF(OR(A36="",P36="",P36=0),"",MIN(O36/P36*4,4))</f>
        <v/>
      </c>
      <c r="R36" s="32">
        <f>IF(A36="","",SUM(E36,H36,K36,N36,Q36))</f>
        <v/>
      </c>
      <c r="S36" s="19">
        <f>IF(R36="","",_xlfn.IFS(R36&gt;=18,"S",R36&gt;=16,"A",R36&gt;=14,"B",R36&gt;=11,"C",TRUE,"D"))</f>
        <v/>
      </c>
    </row>
    <row r="37">
      <c r="A37" s="33">
        <f>IF(A15="","",A15)</f>
        <v/>
      </c>
      <c r="B37" s="19">
        <f>B15</f>
        <v/>
      </c>
      <c r="C37" s="55" t="n">
        <v>4</v>
      </c>
      <c r="D37" s="55" t="n">
        <v>8</v>
      </c>
      <c r="E37" s="32">
        <f>IF(OR(A37="",D37="",D37=0),"",MIN(C37/D37*4,4))</f>
        <v/>
      </c>
      <c r="F37" s="55" t="n">
        <v>5</v>
      </c>
      <c r="G37" s="55" t="n">
        <v>10</v>
      </c>
      <c r="H37" s="32">
        <f>IF(OR(A37="",G37="",G37=0),"",MIN(F37/G37*4,4))</f>
        <v/>
      </c>
      <c r="I37" s="55" t="n">
        <v>3</v>
      </c>
      <c r="J37" s="55" t="n">
        <v>6</v>
      </c>
      <c r="K37" s="32">
        <f>IF(OR(A37="",J37="",J37=0),"",MIN(I37/J37*4,4))</f>
        <v/>
      </c>
      <c r="L37" s="55" t="n">
        <v>5</v>
      </c>
      <c r="M37" s="55" t="n">
        <v>10</v>
      </c>
      <c r="N37" s="32">
        <f>IF(OR(A37="",M37="",M37=0),"",MIN(L37/M37*4,4))</f>
        <v/>
      </c>
      <c r="O37" s="55" t="n">
        <v>2</v>
      </c>
      <c r="P37" s="55" t="n">
        <v>4</v>
      </c>
      <c r="Q37" s="32">
        <f>IF(OR(A37="",P37="",P37=0),"",MIN(O37/P37*4,4))</f>
        <v/>
      </c>
      <c r="R37" s="32">
        <f>IF(A37="","",SUM(E37,H37,K37,N37,Q37))</f>
        <v/>
      </c>
      <c r="S37" s="19">
        <f>IF(R37="","",_xlfn.IFS(R37&gt;=18,"S",R37&gt;=16,"A",R37&gt;=14,"B",R37&gt;=11,"C",TRUE,"D"))</f>
        <v/>
      </c>
    </row>
    <row r="38">
      <c r="A38" s="33">
        <f>IF(A16="","",A16)</f>
        <v/>
      </c>
      <c r="B38" s="19">
        <f>B16</f>
        <v/>
      </c>
      <c r="C38" s="55" t="n">
        <v>3</v>
      </c>
      <c r="D38" s="55" t="n">
        <v>8</v>
      </c>
      <c r="E38" s="32">
        <f>IF(OR(A38="",D38="",D38=0),"",MIN(C38/D38*4,4))</f>
        <v/>
      </c>
      <c r="F38" s="55" t="n">
        <v>4</v>
      </c>
      <c r="G38" s="55" t="n">
        <v>10</v>
      </c>
      <c r="H38" s="32">
        <f>IF(OR(A38="",G38="",G38=0),"",MIN(F38/G38*4,4))</f>
        <v/>
      </c>
      <c r="I38" s="55" t="n">
        <v>2</v>
      </c>
      <c r="J38" s="55" t="n">
        <v>6</v>
      </c>
      <c r="K38" s="32">
        <f>IF(OR(A38="",J38="",J38=0),"",MIN(I38/J38*4,4))</f>
        <v/>
      </c>
      <c r="L38" s="55" t="n">
        <v>4</v>
      </c>
      <c r="M38" s="55" t="n">
        <v>10</v>
      </c>
      <c r="N38" s="32">
        <f>IF(OR(A38="",M38="",M38=0),"",MIN(L38/M38*4,4))</f>
        <v/>
      </c>
      <c r="O38" s="55" t="n">
        <v>1</v>
      </c>
      <c r="P38" s="55" t="n">
        <v>4</v>
      </c>
      <c r="Q38" s="32">
        <f>IF(OR(A38="",P38="",P38=0),"",MIN(O38/P38*4,4))</f>
        <v/>
      </c>
      <c r="R38" s="32">
        <f>IF(A38="","",SUM(E38,H38,K38,N38,Q38))</f>
        <v/>
      </c>
      <c r="S38" s="19">
        <f>IF(R38="","",_xlfn.IFS(R38&gt;=18,"S",R38&gt;=16,"A",R38&gt;=14,"B",R38&gt;=11,"C",TRUE,"D"))</f>
        <v/>
      </c>
    </row>
    <row r="39">
      <c r="A39" s="33">
        <f>IF(A17="","",A17)</f>
        <v/>
      </c>
      <c r="B39" s="19">
        <f>B17</f>
        <v/>
      </c>
      <c r="C39" s="55" t="n"/>
      <c r="D39" s="55" t="n"/>
      <c r="E39" s="32">
        <f>IF(OR(A39="",D39="",D39=0),"",MIN(C39/D39*4,4))</f>
        <v/>
      </c>
      <c r="F39" s="55" t="n"/>
      <c r="G39" s="55" t="n"/>
      <c r="H39" s="32">
        <f>IF(OR(A39="",G39="",G39=0),"",MIN(F39/G39*4,4))</f>
        <v/>
      </c>
      <c r="I39" s="55" t="n"/>
      <c r="J39" s="55" t="n"/>
      <c r="K39" s="32">
        <f>IF(OR(A39="",J39="",J39=0),"",MIN(I39/J39*4,4))</f>
        <v/>
      </c>
      <c r="L39" s="55" t="n"/>
      <c r="M39" s="55" t="n"/>
      <c r="N39" s="32">
        <f>IF(OR(A39="",M39="",M39=0),"",MIN(L39/M39*4,4))</f>
        <v/>
      </c>
      <c r="O39" s="55" t="n"/>
      <c r="P39" s="55" t="n"/>
      <c r="Q39" s="32">
        <f>IF(OR(A39="",P39="",P39=0),"",MIN(O39/P39*4,4))</f>
        <v/>
      </c>
      <c r="R39" s="32">
        <f>IF(A39="","",SUM(E39,H39,K39,N39,Q39))</f>
        <v/>
      </c>
      <c r="S39" s="19">
        <f>IF(R39="","",_xlfn.IFS(R39&gt;=18,"S",R39&gt;=16,"A",R39&gt;=14,"B",R39&gt;=11,"C",TRUE,"D"))</f>
        <v/>
      </c>
    </row>
    <row r="40">
      <c r="A40" s="33">
        <f>IF(A18="","",A18)</f>
        <v/>
      </c>
      <c r="B40" s="19">
        <f>B18</f>
        <v/>
      </c>
      <c r="C40" s="55" t="n"/>
      <c r="D40" s="55" t="n"/>
      <c r="E40" s="32">
        <f>IF(OR(A40="",D40="",D40=0),"",MIN(C40/D40*4,4))</f>
        <v/>
      </c>
      <c r="F40" s="55" t="n"/>
      <c r="G40" s="55" t="n"/>
      <c r="H40" s="32">
        <f>IF(OR(A40="",G40="",G40=0),"",MIN(F40/G40*4,4))</f>
        <v/>
      </c>
      <c r="I40" s="55" t="n"/>
      <c r="J40" s="55" t="n"/>
      <c r="K40" s="32">
        <f>IF(OR(A40="",J40="",J40=0),"",MIN(I40/J40*4,4))</f>
        <v/>
      </c>
      <c r="L40" s="55" t="n"/>
      <c r="M40" s="55" t="n"/>
      <c r="N40" s="32">
        <f>IF(OR(A40="",M40="",M40=0),"",MIN(L40/M40*4,4))</f>
        <v/>
      </c>
      <c r="O40" s="55" t="n"/>
      <c r="P40" s="55" t="n"/>
      <c r="Q40" s="32">
        <f>IF(OR(A40="",P40="",P40=0),"",MIN(O40/P40*4,4))</f>
        <v/>
      </c>
      <c r="R40" s="32">
        <f>IF(A40="","",SUM(E40,H40,K40,N40,Q40))</f>
        <v/>
      </c>
      <c r="S40" s="19">
        <f>IF(R40="","",_xlfn.IFS(R40&gt;=18,"S",R40&gt;=16,"A",R40&gt;=14,"B",R40&gt;=11,"C",TRUE,"D"))</f>
        <v/>
      </c>
    </row>
    <row r="41">
      <c r="A41" s="33">
        <f>IF(A19="","",A19)</f>
        <v/>
      </c>
      <c r="B41" s="19">
        <f>B19</f>
        <v/>
      </c>
      <c r="C41" s="55" t="n"/>
      <c r="D41" s="55" t="n"/>
      <c r="E41" s="32">
        <f>IF(OR(A41="",D41="",D41=0),"",MIN(C41/D41*4,4))</f>
        <v/>
      </c>
      <c r="F41" s="55" t="n"/>
      <c r="G41" s="55" t="n"/>
      <c r="H41" s="32">
        <f>IF(OR(A41="",G41="",G41=0),"",MIN(F41/G41*4,4))</f>
        <v/>
      </c>
      <c r="I41" s="55" t="n"/>
      <c r="J41" s="55" t="n"/>
      <c r="K41" s="32">
        <f>IF(OR(A41="",J41="",J41=0),"",MIN(I41/J41*4,4))</f>
        <v/>
      </c>
      <c r="L41" s="55" t="n"/>
      <c r="M41" s="55" t="n"/>
      <c r="N41" s="32">
        <f>IF(OR(A41="",M41="",M41=0),"",MIN(L41/M41*4,4))</f>
        <v/>
      </c>
      <c r="O41" s="55" t="n"/>
      <c r="P41" s="55" t="n"/>
      <c r="Q41" s="32">
        <f>IF(OR(A41="",P41="",P41=0),"",MIN(O41/P41*4,4))</f>
        <v/>
      </c>
      <c r="R41" s="32">
        <f>IF(A41="","",SUM(E41,H41,K41,N41,Q41))</f>
        <v/>
      </c>
      <c r="S41" s="19">
        <f>IF(R41="","",_xlfn.IFS(R41&gt;=18,"S",R41&gt;=16,"A",R41&gt;=14,"B",R41&gt;=11,"C",TRUE,"D"))</f>
        <v/>
      </c>
    </row>
    <row r="42">
      <c r="A42" s="33">
        <f>IF(A20="","",A20)</f>
        <v/>
      </c>
      <c r="B42" s="19">
        <f>B20</f>
        <v/>
      </c>
      <c r="C42" s="55" t="n"/>
      <c r="D42" s="55" t="n"/>
      <c r="E42" s="32">
        <f>IF(OR(A42="",D42="",D42=0),"",MIN(C42/D42*4,4))</f>
        <v/>
      </c>
      <c r="F42" s="55" t="n"/>
      <c r="G42" s="55" t="n"/>
      <c r="H42" s="32">
        <f>IF(OR(A42="",G42="",G42=0),"",MIN(F42/G42*4,4))</f>
        <v/>
      </c>
      <c r="I42" s="55" t="n"/>
      <c r="J42" s="55" t="n"/>
      <c r="K42" s="32">
        <f>IF(OR(A42="",J42="",J42=0),"",MIN(I42/J42*4,4))</f>
        <v/>
      </c>
      <c r="L42" s="55" t="n"/>
      <c r="M42" s="55" t="n"/>
      <c r="N42" s="32">
        <f>IF(OR(A42="",M42="",M42=0),"",MIN(L42/M42*4,4))</f>
        <v/>
      </c>
      <c r="O42" s="55" t="n"/>
      <c r="P42" s="55" t="n"/>
      <c r="Q42" s="32">
        <f>IF(OR(A42="",P42="",P42=0),"",MIN(O42/P42*4,4))</f>
        <v/>
      </c>
      <c r="R42" s="32">
        <f>IF(A42="","",SUM(E42,H42,K42,N42,Q42))</f>
        <v/>
      </c>
      <c r="S42" s="19">
        <f>IF(R42="","",_xlfn.IFS(R42&gt;=18,"S",R42&gt;=16,"A",R42&gt;=14,"B",R42&gt;=11,"C",TRUE,"D"))</f>
        <v/>
      </c>
    </row>
    <row r="43">
      <c r="A43" s="33">
        <f>IF(A21="","",A21)</f>
        <v/>
      </c>
      <c r="B43" s="19">
        <f>B21</f>
        <v/>
      </c>
      <c r="C43" s="55" t="n"/>
      <c r="D43" s="55" t="n"/>
      <c r="E43" s="32">
        <f>IF(OR(A43="",D43="",D43=0),"",MIN(C43/D43*4,4))</f>
        <v/>
      </c>
      <c r="F43" s="55" t="n"/>
      <c r="G43" s="55" t="n"/>
      <c r="H43" s="32">
        <f>IF(OR(A43="",G43="",G43=0),"",MIN(F43/G43*4,4))</f>
        <v/>
      </c>
      <c r="I43" s="55" t="n"/>
      <c r="J43" s="55" t="n"/>
      <c r="K43" s="32">
        <f>IF(OR(A43="",J43="",J43=0),"",MIN(I43/J43*4,4))</f>
        <v/>
      </c>
      <c r="L43" s="55" t="n"/>
      <c r="M43" s="55" t="n"/>
      <c r="N43" s="32">
        <f>IF(OR(A43="",M43="",M43=0),"",MIN(L43/M43*4,4))</f>
        <v/>
      </c>
      <c r="O43" s="55" t="n"/>
      <c r="P43" s="55" t="n"/>
      <c r="Q43" s="32">
        <f>IF(OR(A43="",P43="",P43=0),"",MIN(O43/P43*4,4))</f>
        <v/>
      </c>
      <c r="R43" s="32">
        <f>IF(A43="","",SUM(E43,H43,K43,N43,Q43))</f>
        <v/>
      </c>
      <c r="S43" s="19">
        <f>IF(R43="","",_xlfn.IFS(R43&gt;=18,"S",R43&gt;=16,"A",R43&gt;=14,"B",R43&gt;=11,"C",TRUE,"D"))</f>
        <v/>
      </c>
    </row>
    <row r="44">
      <c r="A44" s="10" t="inlineStr">
        <is>
          <t>팀 평균 / 합계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34">
        <f>AVERAGE(R29:R43)</f>
        <v/>
      </c>
      <c r="S44" s="10" t="inlineStr">
        <is>
          <t>-</t>
        </is>
      </c>
    </row>
    <row r="46">
      <c r="A46" s="8" t="inlineStr">
        <is>
          <t>③ 역량평가 · 정성 (과정지표Ⅱ, 30점)</t>
        </is>
      </c>
      <c r="J46" s="2" t="inlineStr">
        <is>
          <t>④ 종합</t>
        </is>
      </c>
    </row>
    <row r="47" ht="30" customHeight="1">
      <c r="A47" s="2" t="inlineStr">
        <is>
          <t>이름
(①표 자동)</t>
        </is>
      </c>
      <c r="B47" s="2" t="inlineStr">
        <is>
          <t>직책
(①표 자동)</t>
        </is>
      </c>
      <c r="C47" s="8" t="inlineStr">
        <is>
          <t>업무태도</t>
        </is>
      </c>
      <c r="D47" s="8" t="inlineStr">
        <is>
          <t>전문소통</t>
        </is>
      </c>
      <c r="E47" s="8" t="inlineStr">
        <is>
          <t>조직화합</t>
        </is>
      </c>
      <c r="F47" s="8" t="inlineStr">
        <is>
          <t>업무지시이행</t>
        </is>
      </c>
      <c r="G47" s="8" t="inlineStr">
        <is>
          <t>조직기여</t>
        </is>
      </c>
      <c r="H47" s="8" t="inlineStr">
        <is>
          <t>소계
(30)</t>
        </is>
      </c>
      <c r="I47" s="8" t="inlineStr">
        <is>
          <t>등급</t>
        </is>
      </c>
      <c r="J47" s="2" t="inlineStr">
        <is>
          <t>①결과지표
점수(참조)</t>
        </is>
      </c>
      <c r="K47" s="2" t="inlineStr">
        <is>
          <t>②개별성과
소계(참조)</t>
        </is>
      </c>
      <c r="L47" s="2" t="inlineStr">
        <is>
          <t>종합점수
(100)</t>
        </is>
      </c>
      <c r="M47" s="2" t="inlineStr">
        <is>
          <t>종합등급</t>
        </is>
      </c>
      <c r="N47" s="2" t="inlineStr">
        <is>
          <t>보상구분</t>
        </is>
      </c>
      <c r="O47" s="2" t="inlineStr">
        <is>
          <t>비고</t>
        </is>
      </c>
    </row>
    <row r="48" ht="42" customHeight="1">
      <c r="C48" s="21" t="inlineStr">
        <is>
          <t>성실성·근태·마감 준수 등 기본 업무 자세 (0~6점)</t>
        </is>
      </c>
      <c r="D48" s="21" t="inlineStr">
        <is>
          <t>고객·동료와의 커뮤니케이션 품질과 신속성 (0~6점)</t>
        </is>
      </c>
      <c r="E48" s="21" t="inlineStr">
        <is>
          <t>팀 내 협업 및 갈등 조율 기여도 (0~6점)</t>
        </is>
      </c>
      <c r="F48" s="21" t="inlineStr">
        <is>
          <t>지시받은 업무의 완결성과 정확도 (0~6점)</t>
        </is>
      </c>
      <c r="G48" s="21" t="inlineStr">
        <is>
          <t>팀/전사 차원의 부가적 기여 - 멘토링·지식공유 등 (0~6점)</t>
        </is>
      </c>
    </row>
    <row r="49" ht="22" customHeight="1">
      <c r="C49" s="63" t="inlineStr">
        <is>
          <t>점수
(6)</t>
        </is>
      </c>
      <c r="D49" s="63" t="inlineStr">
        <is>
          <t>점수
(6)</t>
        </is>
      </c>
      <c r="E49" s="63" t="inlineStr">
        <is>
          <t>점수
(6)</t>
        </is>
      </c>
      <c r="F49" s="63" t="inlineStr">
        <is>
          <t>점수
(6)</t>
        </is>
      </c>
      <c r="G49" s="63" t="inlineStr">
        <is>
          <t>점수
(6)</t>
        </is>
      </c>
    </row>
    <row r="50" ht="34" customHeight="1">
      <c r="A50" s="33">
        <f>IF(A6="","",A6)</f>
        <v/>
      </c>
      <c r="B50" s="19">
        <f>B6</f>
        <v/>
      </c>
      <c r="C50" s="61" t="inlineStr">
        <is>
          <t>리더의 역량평가는 상급자(경영진)가 별도로 평가합니다 — 본 시트에는 미기재</t>
        </is>
      </c>
      <c r="J50" s="32">
        <f>F6</f>
        <v/>
      </c>
      <c r="K50" s="20" t="inlineStr">
        <is>
          <t>해당없음</t>
        </is>
      </c>
      <c r="L50" s="61" t="inlineStr">
        <is>
          <t>리더 종합평가 = 결과지표(50) + 상급자 역량평가(30, 별도 산정) — 본 시트 자동계산 대상 아님</t>
        </is>
      </c>
      <c r="O50" s="64" t="n"/>
    </row>
    <row r="51">
      <c r="A51" s="33">
        <f>IF(A7="","",A7)</f>
        <v/>
      </c>
      <c r="B51" s="19">
        <f>B7</f>
        <v/>
      </c>
      <c r="C51" s="55" t="n">
        <v>6</v>
      </c>
      <c r="D51" s="55" t="n">
        <v>6</v>
      </c>
      <c r="E51" s="55" t="n">
        <v>6</v>
      </c>
      <c r="F51" s="55" t="n">
        <v>6</v>
      </c>
      <c r="G51" s="55" t="n">
        <v>6</v>
      </c>
      <c r="H51" s="32">
        <f>IF(A51="","",SUM(C51,D51,E51,F51,G51))</f>
        <v/>
      </c>
      <c r="I51" s="19">
        <f>IF(H51="","",_xlfn.IFS(H51&gt;=27,"S",H51&gt;=24,"A",H51&gt;=21,"B",H51&gt;=18,"C",TRUE,"D"))</f>
        <v/>
      </c>
      <c r="J51" s="32">
        <f>IF(A51="","",F7)</f>
        <v/>
      </c>
      <c r="K51" s="32">
        <f>IF(A51="","",R29)</f>
        <v/>
      </c>
      <c r="L51" s="32">
        <f>IF(A51="","",J51+K51+H51)</f>
        <v/>
      </c>
      <c r="M51" s="19">
        <f>IF(L51="","",_xlfn.IFS(L51&gt;=90,"S",L51&gt;=82,"A",L51&gt;=70,"B",L51&gt;=60,"C",TRUE,"D"))</f>
        <v/>
      </c>
      <c r="N51" s="33">
        <f>IF(M51="","",_xlfn.IFS(M51="S","특별성과급 (연봉의 15%) + 연봉 인상 10%",M51="A","성과급 (연봉의 10%) + 연봉 인상 7%",M51="B","연봉 인상 3% (물가인상률 보전)",M51="C","동결 (PIP 대상)",TRUE,"동결 (경고 및 보직조정)"))</f>
        <v/>
      </c>
      <c r="O51" s="51" t="n"/>
    </row>
    <row r="52">
      <c r="A52" s="33">
        <f>IF(A8="","",A8)</f>
        <v/>
      </c>
      <c r="B52" s="19">
        <f>B8</f>
        <v/>
      </c>
      <c r="C52" s="55" t="n">
        <v>6</v>
      </c>
      <c r="D52" s="55" t="n">
        <v>6</v>
      </c>
      <c r="E52" s="55" t="n">
        <v>6</v>
      </c>
      <c r="F52" s="55" t="n">
        <v>6</v>
      </c>
      <c r="G52" s="55" t="n">
        <v>6</v>
      </c>
      <c r="H52" s="32">
        <f>IF(A52="","",SUM(C52,D52,E52,F52,G52))</f>
        <v/>
      </c>
      <c r="I52" s="19">
        <f>IF(H52="","",_xlfn.IFS(H52&gt;=27,"S",H52&gt;=24,"A",H52&gt;=21,"B",H52&gt;=18,"C",TRUE,"D"))</f>
        <v/>
      </c>
      <c r="J52" s="32">
        <f>IF(A52="","",F8)</f>
        <v/>
      </c>
      <c r="K52" s="32">
        <f>IF(A52="","",R30)</f>
        <v/>
      </c>
      <c r="L52" s="32">
        <f>IF(A52="","",J52+K52+H52)</f>
        <v/>
      </c>
      <c r="M52" s="19">
        <f>IF(L52="","",_xlfn.IFS(L52&gt;=90,"S",L52&gt;=82,"A",L52&gt;=70,"B",L52&gt;=60,"C",TRUE,"D"))</f>
        <v/>
      </c>
      <c r="N52" s="33">
        <f>IF(M52="","",_xlfn.IFS(M52="S","특별성과급 (연봉의 15%) + 연봉 인상 10%",M52="A","성과급 (연봉의 10%) + 연봉 인상 7%",M52="B","연봉 인상 3% (물가인상률 보전)",M52="C","동결 (PIP 대상)",TRUE,"동결 (경고 및 보직조정)"))</f>
        <v/>
      </c>
      <c r="O52" s="51" t="n"/>
    </row>
    <row r="53">
      <c r="A53" s="33">
        <f>IF(A9="","",A9)</f>
        <v/>
      </c>
      <c r="B53" s="19">
        <f>B9</f>
        <v/>
      </c>
      <c r="C53" s="55" t="n">
        <v>6</v>
      </c>
      <c r="D53" s="55" t="n">
        <v>6</v>
      </c>
      <c r="E53" s="55" t="n">
        <v>6</v>
      </c>
      <c r="F53" s="55" t="n">
        <v>6</v>
      </c>
      <c r="G53" s="55" t="n">
        <v>6</v>
      </c>
      <c r="H53" s="32">
        <f>IF(A53="","",SUM(C53,D53,E53,F53,G53))</f>
        <v/>
      </c>
      <c r="I53" s="19">
        <f>IF(H53="","",_xlfn.IFS(H53&gt;=27,"S",H53&gt;=24,"A",H53&gt;=21,"B",H53&gt;=18,"C",TRUE,"D"))</f>
        <v/>
      </c>
      <c r="J53" s="32">
        <f>IF(A53="","",F9)</f>
        <v/>
      </c>
      <c r="K53" s="32">
        <f>IF(A53="","",R31)</f>
        <v/>
      </c>
      <c r="L53" s="32">
        <f>IF(A53="","",J53+K53+H53)</f>
        <v/>
      </c>
      <c r="M53" s="19">
        <f>IF(L53="","",_xlfn.IFS(L53&gt;=90,"S",L53&gt;=82,"A",L53&gt;=70,"B",L53&gt;=60,"C",TRUE,"D"))</f>
        <v/>
      </c>
      <c r="N53" s="33">
        <f>IF(M53="","",_xlfn.IFS(M53="S","특별성과급 (연봉의 15%) + 연봉 인상 10%",M53="A","성과급 (연봉의 10%) + 연봉 인상 7%",M53="B","연봉 인상 3% (물가인상률 보전)",M53="C","동결 (PIP 대상)",TRUE,"동결 (경고 및 보직조정)"))</f>
        <v/>
      </c>
      <c r="O53" s="51" t="n"/>
    </row>
    <row r="54">
      <c r="A54" s="33">
        <f>IF(A10="","",A10)</f>
        <v/>
      </c>
      <c r="B54" s="19">
        <f>B10</f>
        <v/>
      </c>
      <c r="C54" s="55" t="n">
        <v>5</v>
      </c>
      <c r="D54" s="55" t="n">
        <v>5</v>
      </c>
      <c r="E54" s="55" t="n">
        <v>5</v>
      </c>
      <c r="F54" s="55" t="n">
        <v>5</v>
      </c>
      <c r="G54" s="55" t="n">
        <v>5</v>
      </c>
      <c r="H54" s="32">
        <f>IF(A54="","",SUM(C54,D54,E54,F54,G54))</f>
        <v/>
      </c>
      <c r="I54" s="19">
        <f>IF(H54="","",_xlfn.IFS(H54&gt;=27,"S",H54&gt;=24,"A",H54&gt;=21,"B",H54&gt;=18,"C",TRUE,"D"))</f>
        <v/>
      </c>
      <c r="J54" s="32">
        <f>IF(A54="","",F10)</f>
        <v/>
      </c>
      <c r="K54" s="32">
        <f>IF(A54="","",R32)</f>
        <v/>
      </c>
      <c r="L54" s="32">
        <f>IF(A54="","",J54+K54+H54)</f>
        <v/>
      </c>
      <c r="M54" s="19">
        <f>IF(L54="","",_xlfn.IFS(L54&gt;=90,"S",L54&gt;=82,"A",L54&gt;=70,"B",L54&gt;=60,"C",TRUE,"D"))</f>
        <v/>
      </c>
      <c r="N54" s="33">
        <f>IF(M54="","",_xlfn.IFS(M54="S","특별성과급 (연봉의 15%) + 연봉 인상 10%",M54="A","성과급 (연봉의 10%) + 연봉 인상 7%",M54="B","연봉 인상 3% (물가인상률 보전)",M54="C","동결 (PIP 대상)",TRUE,"동결 (경고 및 보직조정)"))</f>
        <v/>
      </c>
      <c r="O54" s="51" t="n"/>
    </row>
    <row r="55">
      <c r="A55" s="33">
        <f>IF(A11="","",A11)</f>
        <v/>
      </c>
      <c r="B55" s="19">
        <f>B11</f>
        <v/>
      </c>
      <c r="C55" s="55" t="n">
        <v>5</v>
      </c>
      <c r="D55" s="55" t="n">
        <v>5</v>
      </c>
      <c r="E55" s="55" t="n">
        <v>5</v>
      </c>
      <c r="F55" s="55" t="n">
        <v>5</v>
      </c>
      <c r="G55" s="55" t="n">
        <v>5</v>
      </c>
      <c r="H55" s="32">
        <f>IF(A55="","",SUM(C55,D55,E55,F55,G55))</f>
        <v/>
      </c>
      <c r="I55" s="19">
        <f>IF(H55="","",_xlfn.IFS(H55&gt;=27,"S",H55&gt;=24,"A",H55&gt;=21,"B",H55&gt;=18,"C",TRUE,"D"))</f>
        <v/>
      </c>
      <c r="J55" s="32">
        <f>IF(A55="","",F11)</f>
        <v/>
      </c>
      <c r="K55" s="32">
        <f>IF(A55="","",R33)</f>
        <v/>
      </c>
      <c r="L55" s="32">
        <f>IF(A55="","",J55+K55+H55)</f>
        <v/>
      </c>
      <c r="M55" s="19">
        <f>IF(L55="","",_xlfn.IFS(L55&gt;=90,"S",L55&gt;=82,"A",L55&gt;=70,"B",L55&gt;=60,"C",TRUE,"D"))</f>
        <v/>
      </c>
      <c r="N55" s="33">
        <f>IF(M55="","",_xlfn.IFS(M55="S","특별성과급 (연봉의 15%) + 연봉 인상 10%",M55="A","성과급 (연봉의 10%) + 연봉 인상 7%",M55="B","연봉 인상 3% (물가인상률 보전)",M55="C","동결 (PIP 대상)",TRUE,"동결 (경고 및 보직조정)"))</f>
        <v/>
      </c>
      <c r="O55" s="51" t="n"/>
    </row>
    <row r="56">
      <c r="A56" s="33">
        <f>IF(A12="","",A12)</f>
        <v/>
      </c>
      <c r="B56" s="19">
        <f>B12</f>
        <v/>
      </c>
      <c r="C56" s="55" t="n">
        <v>4</v>
      </c>
      <c r="D56" s="55" t="n">
        <v>4</v>
      </c>
      <c r="E56" s="55" t="n">
        <v>4</v>
      </c>
      <c r="F56" s="55" t="n">
        <v>4</v>
      </c>
      <c r="G56" s="55" t="n">
        <v>4</v>
      </c>
      <c r="H56" s="32">
        <f>IF(A56="","",SUM(C56,D56,E56,F56,G56))</f>
        <v/>
      </c>
      <c r="I56" s="19">
        <f>IF(H56="","",_xlfn.IFS(H56&gt;=27,"S",H56&gt;=24,"A",H56&gt;=21,"B",H56&gt;=18,"C",TRUE,"D"))</f>
        <v/>
      </c>
      <c r="J56" s="32">
        <f>IF(A56="","",F12)</f>
        <v/>
      </c>
      <c r="K56" s="32">
        <f>IF(A56="","",R34)</f>
        <v/>
      </c>
      <c r="L56" s="32">
        <f>IF(A56="","",J56+K56+H56)</f>
        <v/>
      </c>
      <c r="M56" s="19">
        <f>IF(L56="","",_xlfn.IFS(L56&gt;=90,"S",L56&gt;=82,"A",L56&gt;=70,"B",L56&gt;=60,"C",TRUE,"D"))</f>
        <v/>
      </c>
      <c r="N56" s="33">
        <f>IF(M56="","",_xlfn.IFS(M56="S","특별성과급 (연봉의 15%) + 연봉 인상 10%",M56="A","성과급 (연봉의 10%) + 연봉 인상 7%",M56="B","연봉 인상 3% (물가인상률 보전)",M56="C","동결 (PIP 대상)",TRUE,"동결 (경고 및 보직조정)"))</f>
        <v/>
      </c>
      <c r="O56" s="51" t="n"/>
    </row>
    <row r="57">
      <c r="A57" s="33">
        <f>IF(A13="","",A13)</f>
        <v/>
      </c>
      <c r="B57" s="19">
        <f>B13</f>
        <v/>
      </c>
      <c r="C57" s="55" t="n">
        <v>4</v>
      </c>
      <c r="D57" s="55" t="n">
        <v>4</v>
      </c>
      <c r="E57" s="55" t="n">
        <v>4</v>
      </c>
      <c r="F57" s="55" t="n">
        <v>4</v>
      </c>
      <c r="G57" s="55" t="n">
        <v>4</v>
      </c>
      <c r="H57" s="32">
        <f>IF(A57="","",SUM(C57,D57,E57,F57,G57))</f>
        <v/>
      </c>
      <c r="I57" s="19">
        <f>IF(H57="","",_xlfn.IFS(H57&gt;=27,"S",H57&gt;=24,"A",H57&gt;=21,"B",H57&gt;=18,"C",TRUE,"D"))</f>
        <v/>
      </c>
      <c r="J57" s="32">
        <f>IF(A57="","",F13)</f>
        <v/>
      </c>
      <c r="K57" s="32">
        <f>IF(A57="","",R35)</f>
        <v/>
      </c>
      <c r="L57" s="32">
        <f>IF(A57="","",J57+K57+H57)</f>
        <v/>
      </c>
      <c r="M57" s="19">
        <f>IF(L57="","",_xlfn.IFS(L57&gt;=90,"S",L57&gt;=82,"A",L57&gt;=70,"B",L57&gt;=60,"C",TRUE,"D"))</f>
        <v/>
      </c>
      <c r="N57" s="33">
        <f>IF(M57="","",_xlfn.IFS(M57="S","특별성과급 (연봉의 15%) + 연봉 인상 10%",M57="A","성과급 (연봉의 10%) + 연봉 인상 7%",M57="B","연봉 인상 3% (물가인상률 보전)",M57="C","동결 (PIP 대상)",TRUE,"동결 (경고 및 보직조정)"))</f>
        <v/>
      </c>
      <c r="O57" s="51" t="n"/>
    </row>
    <row r="58">
      <c r="A58" s="33">
        <f>IF(A14="","",A14)</f>
        <v/>
      </c>
      <c r="B58" s="19">
        <f>B14</f>
        <v/>
      </c>
      <c r="C58" s="55" t="n">
        <v>3</v>
      </c>
      <c r="D58" s="55" t="n">
        <v>3</v>
      </c>
      <c r="E58" s="55" t="n">
        <v>3</v>
      </c>
      <c r="F58" s="55" t="n">
        <v>3</v>
      </c>
      <c r="G58" s="55" t="n">
        <v>3</v>
      </c>
      <c r="H58" s="32">
        <f>IF(A58="","",SUM(C58,D58,E58,F58,G58))</f>
        <v/>
      </c>
      <c r="I58" s="19">
        <f>IF(H58="","",_xlfn.IFS(H58&gt;=27,"S",H58&gt;=24,"A",H58&gt;=21,"B",H58&gt;=18,"C",TRUE,"D"))</f>
        <v/>
      </c>
      <c r="J58" s="32">
        <f>IF(A58="","",F14)</f>
        <v/>
      </c>
      <c r="K58" s="32">
        <f>IF(A58="","",R36)</f>
        <v/>
      </c>
      <c r="L58" s="32">
        <f>IF(A58="","",J58+K58+H58)</f>
        <v/>
      </c>
      <c r="M58" s="19">
        <f>IF(L58="","",_xlfn.IFS(L58&gt;=90,"S",L58&gt;=82,"A",L58&gt;=70,"B",L58&gt;=60,"C",TRUE,"D"))</f>
        <v/>
      </c>
      <c r="N58" s="33">
        <f>IF(M58="","",_xlfn.IFS(M58="S","특별성과급 (연봉의 15%) + 연봉 인상 10%",M58="A","성과급 (연봉의 10%) + 연봉 인상 7%",M58="B","연봉 인상 3% (물가인상률 보전)",M58="C","동결 (PIP 대상)",TRUE,"동결 (경고 및 보직조정)"))</f>
        <v/>
      </c>
      <c r="O58" s="51" t="n"/>
    </row>
    <row r="59">
      <c r="A59" s="33">
        <f>IF(A15="","",A15)</f>
        <v/>
      </c>
      <c r="B59" s="19">
        <f>B15</f>
        <v/>
      </c>
      <c r="C59" s="55" t="n">
        <v>3</v>
      </c>
      <c r="D59" s="55" t="n">
        <v>3</v>
      </c>
      <c r="E59" s="55" t="n">
        <v>3</v>
      </c>
      <c r="F59" s="55" t="n">
        <v>3</v>
      </c>
      <c r="G59" s="55" t="n">
        <v>3</v>
      </c>
      <c r="H59" s="32">
        <f>IF(A59="","",SUM(C59,D59,E59,F59,G59))</f>
        <v/>
      </c>
      <c r="I59" s="19">
        <f>IF(H59="","",_xlfn.IFS(H59&gt;=27,"S",H59&gt;=24,"A",H59&gt;=21,"B",H59&gt;=18,"C",TRUE,"D"))</f>
        <v/>
      </c>
      <c r="J59" s="32">
        <f>IF(A59="","",F15)</f>
        <v/>
      </c>
      <c r="K59" s="32">
        <f>IF(A59="","",R37)</f>
        <v/>
      </c>
      <c r="L59" s="32">
        <f>IF(A59="","",J59+K59+H59)</f>
        <v/>
      </c>
      <c r="M59" s="19">
        <f>IF(L59="","",_xlfn.IFS(L59&gt;=90,"S",L59&gt;=82,"A",L59&gt;=70,"B",L59&gt;=60,"C",TRUE,"D"))</f>
        <v/>
      </c>
      <c r="N59" s="33">
        <f>IF(M59="","",_xlfn.IFS(M59="S","특별성과급 (연봉의 15%) + 연봉 인상 10%",M59="A","성과급 (연봉의 10%) + 연봉 인상 7%",M59="B","연봉 인상 3% (물가인상률 보전)",M59="C","동결 (PIP 대상)",TRUE,"동결 (경고 및 보직조정)"))</f>
        <v/>
      </c>
      <c r="O59" s="51" t="n"/>
    </row>
    <row r="60">
      <c r="A60" s="33">
        <f>IF(A16="","",A16)</f>
        <v/>
      </c>
      <c r="B60" s="19">
        <f>B16</f>
        <v/>
      </c>
      <c r="C60" s="55" t="n">
        <v>2</v>
      </c>
      <c r="D60" s="55" t="n">
        <v>2</v>
      </c>
      <c r="E60" s="55" t="n">
        <v>2</v>
      </c>
      <c r="F60" s="55" t="n">
        <v>2</v>
      </c>
      <c r="G60" s="55" t="n">
        <v>2</v>
      </c>
      <c r="H60" s="32">
        <f>IF(A60="","",SUM(C60,D60,E60,F60,G60))</f>
        <v/>
      </c>
      <c r="I60" s="19">
        <f>IF(H60="","",_xlfn.IFS(H60&gt;=27,"S",H60&gt;=24,"A",H60&gt;=21,"B",H60&gt;=18,"C",TRUE,"D"))</f>
        <v/>
      </c>
      <c r="J60" s="32">
        <f>IF(A60="","",F16)</f>
        <v/>
      </c>
      <c r="K60" s="32">
        <f>IF(A60="","",R38)</f>
        <v/>
      </c>
      <c r="L60" s="32">
        <f>IF(A60="","",J60+K60+H60)</f>
        <v/>
      </c>
      <c r="M60" s="19">
        <f>IF(L60="","",_xlfn.IFS(L60&gt;=90,"S",L60&gt;=82,"A",L60&gt;=70,"B",L60&gt;=60,"C",TRUE,"D"))</f>
        <v/>
      </c>
      <c r="N60" s="33">
        <f>IF(M60="","",_xlfn.IFS(M60="S","특별성과급 (연봉의 15%) + 연봉 인상 10%",M60="A","성과급 (연봉의 10%) + 연봉 인상 7%",M60="B","연봉 인상 3% (물가인상률 보전)",M60="C","동결 (PIP 대상)",TRUE,"동결 (경고 및 보직조정)"))</f>
        <v/>
      </c>
      <c r="O60" s="51" t="n"/>
    </row>
    <row r="61">
      <c r="A61" s="33">
        <f>IF(A17="","",A17)</f>
        <v/>
      </c>
      <c r="B61" s="19">
        <f>B17</f>
        <v/>
      </c>
      <c r="C61" s="55" t="n"/>
      <c r="D61" s="55" t="n"/>
      <c r="E61" s="55" t="n"/>
      <c r="F61" s="55" t="n"/>
      <c r="G61" s="55" t="n"/>
      <c r="H61" s="32">
        <f>IF(A61="","",SUM(C61,D61,E61,F61,G61))</f>
        <v/>
      </c>
      <c r="I61" s="19">
        <f>IF(H61="","",_xlfn.IFS(H61&gt;=27,"S",H61&gt;=24,"A",H61&gt;=21,"B",H61&gt;=18,"C",TRUE,"D"))</f>
        <v/>
      </c>
      <c r="J61" s="32">
        <f>IF(A61="","",F17)</f>
        <v/>
      </c>
      <c r="K61" s="32">
        <f>IF(A61="","",R39)</f>
        <v/>
      </c>
      <c r="L61" s="32">
        <f>IF(A61="","",J61+K61+H61)</f>
        <v/>
      </c>
      <c r="M61" s="19">
        <f>IF(L61="","",_xlfn.IFS(L61&gt;=90,"S",L61&gt;=82,"A",L61&gt;=70,"B",L61&gt;=60,"C",TRUE,"D"))</f>
        <v/>
      </c>
      <c r="N61" s="33">
        <f>IF(M61="","",_xlfn.IFS(M61="S","특별성과급 (연봉의 15%) + 연봉 인상 10%",M61="A","성과급 (연봉의 10%) + 연봉 인상 7%",M61="B","연봉 인상 3% (물가인상률 보전)",M61="C","동결 (PIP 대상)",TRUE,"동결 (경고 및 보직조정)"))</f>
        <v/>
      </c>
      <c r="O61" s="51" t="n"/>
    </row>
    <row r="62">
      <c r="A62" s="33">
        <f>IF(A18="","",A18)</f>
        <v/>
      </c>
      <c r="B62" s="19">
        <f>B18</f>
        <v/>
      </c>
      <c r="C62" s="55" t="n"/>
      <c r="D62" s="55" t="n"/>
      <c r="E62" s="55" t="n"/>
      <c r="F62" s="55" t="n"/>
      <c r="G62" s="55" t="n"/>
      <c r="H62" s="32">
        <f>IF(A62="","",SUM(C62,D62,E62,F62,G62))</f>
        <v/>
      </c>
      <c r="I62" s="19">
        <f>IF(H62="","",_xlfn.IFS(H62&gt;=27,"S",H62&gt;=24,"A",H62&gt;=21,"B",H62&gt;=18,"C",TRUE,"D"))</f>
        <v/>
      </c>
      <c r="J62" s="32">
        <f>IF(A62="","",F18)</f>
        <v/>
      </c>
      <c r="K62" s="32">
        <f>IF(A62="","",R40)</f>
        <v/>
      </c>
      <c r="L62" s="32">
        <f>IF(A62="","",J62+K62+H62)</f>
        <v/>
      </c>
      <c r="M62" s="19">
        <f>IF(L62="","",_xlfn.IFS(L62&gt;=90,"S",L62&gt;=82,"A",L62&gt;=70,"B",L62&gt;=60,"C",TRUE,"D"))</f>
        <v/>
      </c>
      <c r="N62" s="33">
        <f>IF(M62="","",_xlfn.IFS(M62="S","특별성과급 (연봉의 15%) + 연봉 인상 10%",M62="A","성과급 (연봉의 10%) + 연봉 인상 7%",M62="B","연봉 인상 3% (물가인상률 보전)",M62="C","동결 (PIP 대상)",TRUE,"동결 (경고 및 보직조정)"))</f>
        <v/>
      </c>
      <c r="O62" s="51" t="n"/>
    </row>
    <row r="63">
      <c r="A63" s="33">
        <f>IF(A19="","",A19)</f>
        <v/>
      </c>
      <c r="B63" s="19">
        <f>B19</f>
        <v/>
      </c>
      <c r="C63" s="55" t="n"/>
      <c r="D63" s="55" t="n"/>
      <c r="E63" s="55" t="n"/>
      <c r="F63" s="55" t="n"/>
      <c r="G63" s="55" t="n"/>
      <c r="H63" s="32">
        <f>IF(A63="","",SUM(C63,D63,E63,F63,G63))</f>
        <v/>
      </c>
      <c r="I63" s="19">
        <f>IF(H63="","",_xlfn.IFS(H63&gt;=27,"S",H63&gt;=24,"A",H63&gt;=21,"B",H63&gt;=18,"C",TRUE,"D"))</f>
        <v/>
      </c>
      <c r="J63" s="32">
        <f>IF(A63="","",F19)</f>
        <v/>
      </c>
      <c r="K63" s="32">
        <f>IF(A63="","",R41)</f>
        <v/>
      </c>
      <c r="L63" s="32">
        <f>IF(A63="","",J63+K63+H63)</f>
        <v/>
      </c>
      <c r="M63" s="19">
        <f>IF(L63="","",_xlfn.IFS(L63&gt;=90,"S",L63&gt;=82,"A",L63&gt;=70,"B",L63&gt;=60,"C",TRUE,"D"))</f>
        <v/>
      </c>
      <c r="N63" s="33">
        <f>IF(M63="","",_xlfn.IFS(M63="S","특별성과급 (연봉의 15%) + 연봉 인상 10%",M63="A","성과급 (연봉의 10%) + 연봉 인상 7%",M63="B","연봉 인상 3% (물가인상률 보전)",M63="C","동결 (PIP 대상)",TRUE,"동결 (경고 및 보직조정)"))</f>
        <v/>
      </c>
      <c r="O63" s="51" t="n"/>
    </row>
    <row r="64">
      <c r="A64" s="33">
        <f>IF(A20="","",A20)</f>
        <v/>
      </c>
      <c r="B64" s="19">
        <f>B20</f>
        <v/>
      </c>
      <c r="C64" s="55" t="n"/>
      <c r="D64" s="55" t="n"/>
      <c r="E64" s="55" t="n"/>
      <c r="F64" s="55" t="n"/>
      <c r="G64" s="55" t="n"/>
      <c r="H64" s="32">
        <f>IF(A64="","",SUM(C64,D64,E64,F64,G64))</f>
        <v/>
      </c>
      <c r="I64" s="19">
        <f>IF(H64="","",_xlfn.IFS(H64&gt;=27,"S",H64&gt;=24,"A",H64&gt;=21,"B",H64&gt;=18,"C",TRUE,"D"))</f>
        <v/>
      </c>
      <c r="J64" s="32">
        <f>IF(A64="","",F20)</f>
        <v/>
      </c>
      <c r="K64" s="32">
        <f>IF(A64="","",R42)</f>
        <v/>
      </c>
      <c r="L64" s="32">
        <f>IF(A64="","",J64+K64+H64)</f>
        <v/>
      </c>
      <c r="M64" s="19">
        <f>IF(L64="","",_xlfn.IFS(L64&gt;=90,"S",L64&gt;=82,"A",L64&gt;=70,"B",L64&gt;=60,"C",TRUE,"D"))</f>
        <v/>
      </c>
      <c r="N64" s="33">
        <f>IF(M64="","",_xlfn.IFS(M64="S","특별성과급 (연봉의 15%) + 연봉 인상 10%",M64="A","성과급 (연봉의 10%) + 연봉 인상 7%",M64="B","연봉 인상 3% (물가인상률 보전)",M64="C","동결 (PIP 대상)",TRUE,"동결 (경고 및 보직조정)"))</f>
        <v/>
      </c>
      <c r="O64" s="51" t="n"/>
    </row>
    <row r="65">
      <c r="A65" s="33">
        <f>IF(A21="","",A21)</f>
        <v/>
      </c>
      <c r="B65" s="19">
        <f>B21</f>
        <v/>
      </c>
      <c r="C65" s="55" t="n"/>
      <c r="D65" s="55" t="n"/>
      <c r="E65" s="55" t="n"/>
      <c r="F65" s="55" t="n"/>
      <c r="G65" s="55" t="n"/>
      <c r="H65" s="32">
        <f>IF(A65="","",SUM(C65,D65,E65,F65,G65))</f>
        <v/>
      </c>
      <c r="I65" s="19">
        <f>IF(H65="","",_xlfn.IFS(H65&gt;=27,"S",H65&gt;=24,"A",H65&gt;=21,"B",H65&gt;=18,"C",TRUE,"D"))</f>
        <v/>
      </c>
      <c r="J65" s="32">
        <f>IF(A65="","",F21)</f>
        <v/>
      </c>
      <c r="K65" s="32">
        <f>IF(A65="","",R43)</f>
        <v/>
      </c>
      <c r="L65" s="32">
        <f>IF(A65="","",J65+K65+H65)</f>
        <v/>
      </c>
      <c r="M65" s="19">
        <f>IF(L65="","",_xlfn.IFS(L65&gt;=90,"S",L65&gt;=82,"A",L65&gt;=70,"B",L65&gt;=60,"C",TRUE,"D"))</f>
        <v/>
      </c>
      <c r="N65" s="33">
        <f>IF(M65="","",_xlfn.IFS(M65="S","특별성과급 (연봉의 15%) + 연봉 인상 10%",M65="A","성과급 (연봉의 10%) + 연봉 인상 7%",M65="B","연봉 인상 3% (물가인상률 보전)",M65="C","동결 (PIP 대상)",TRUE,"동결 (경고 및 보직조정)"))</f>
        <v/>
      </c>
      <c r="O65" s="51" t="n"/>
    </row>
    <row r="66">
      <c r="A66" s="10" t="inlineStr">
        <is>
          <t>팀 평균 / 합계</t>
        </is>
      </c>
      <c r="C66" s="62" t="n"/>
      <c r="D66" s="62" t="n"/>
      <c r="E66" s="62" t="n"/>
      <c r="F66" s="62" t="n"/>
      <c r="G66" s="62" t="n"/>
      <c r="H66" s="34">
        <f>AVERAGE(H51:H65)</f>
        <v/>
      </c>
      <c r="I66" s="10" t="inlineStr">
        <is>
          <t>-</t>
        </is>
      </c>
      <c r="J66" s="34">
        <f>F6</f>
        <v/>
      </c>
      <c r="K66" s="34">
        <f>AVERAGE(K51:K65)</f>
        <v/>
      </c>
      <c r="L66" s="34">
        <f>AVERAGE(L51:L65)</f>
        <v/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</row>
  </sheetData>
  <mergeCells count="42">
    <mergeCell ref="L50:O50"/>
    <mergeCell ref="E1:S1"/>
    <mergeCell ref="A46:I46"/>
    <mergeCell ref="O26:Q26"/>
    <mergeCell ref="A4:G4"/>
    <mergeCell ref="J47:J49"/>
    <mergeCell ref="F26:H26"/>
    <mergeCell ref="A47:A49"/>
    <mergeCell ref="M47:M49"/>
    <mergeCell ref="G47"/>
    <mergeCell ref="O25:Q25"/>
    <mergeCell ref="L26:N26"/>
    <mergeCell ref="H47:H49"/>
    <mergeCell ref="L25:N25"/>
    <mergeCell ref="E47"/>
    <mergeCell ref="A66:B66"/>
    <mergeCell ref="B25:B27"/>
    <mergeCell ref="S25:S27"/>
    <mergeCell ref="B47:B49"/>
    <mergeCell ref="A24:S24"/>
    <mergeCell ref="J46:O46"/>
    <mergeCell ref="A1:D1"/>
    <mergeCell ref="L47:L49"/>
    <mergeCell ref="N47:N49"/>
    <mergeCell ref="I47:I49"/>
    <mergeCell ref="R25:R27"/>
    <mergeCell ref="C47"/>
    <mergeCell ref="A22:B22"/>
    <mergeCell ref="F25:H25"/>
    <mergeCell ref="C50:I50"/>
    <mergeCell ref="A25:A27"/>
    <mergeCell ref="K47:K49"/>
    <mergeCell ref="D47"/>
    <mergeCell ref="C26:E26"/>
    <mergeCell ref="I26:K26"/>
    <mergeCell ref="A44:B44"/>
    <mergeCell ref="F47"/>
    <mergeCell ref="O47:O49"/>
    <mergeCell ref="C28:S28"/>
    <mergeCell ref="A2:S2"/>
    <mergeCell ref="C25:E25"/>
    <mergeCell ref="I25:K25"/>
  </mergeCells>
  <conditionalFormatting sqref="G6:G2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"B"</formula>
    </cfRule>
    <cfRule type="cellIs" priority="4" operator="equal" dxfId="3">
      <formula>"C"</formula>
    </cfRule>
    <cfRule type="cellIs" priority="5" operator="equal" dxfId="4">
      <formula>"D"</formula>
    </cfRule>
  </conditionalFormatting>
  <conditionalFormatting sqref="S29:S43">
    <cfRule type="cellIs" priority="6" operator="equal" dxfId="0">
      <formula>"S"</formula>
    </cfRule>
    <cfRule type="cellIs" priority="7" operator="equal" dxfId="1">
      <formula>"A"</formula>
    </cfRule>
    <cfRule type="cellIs" priority="8" operator="equal" dxfId="2">
      <formula>"B"</formula>
    </cfRule>
    <cfRule type="cellIs" priority="9" operator="equal" dxfId="3">
      <formula>"C"</formula>
    </cfRule>
    <cfRule type="cellIs" priority="10" operator="equal" dxfId="4">
      <formula>"D"</formula>
    </cfRule>
  </conditionalFormatting>
  <conditionalFormatting sqref="I51:I65">
    <cfRule type="cellIs" priority="11" operator="equal" dxfId="0">
      <formula>"S"</formula>
    </cfRule>
    <cfRule type="cellIs" priority="12" operator="equal" dxfId="1">
      <formula>"A"</formula>
    </cfRule>
    <cfRule type="cellIs" priority="13" operator="equal" dxfId="2">
      <formula>"B"</formula>
    </cfRule>
    <cfRule type="cellIs" priority="14" operator="equal" dxfId="3">
      <formula>"C"</formula>
    </cfRule>
    <cfRule type="cellIs" priority="15" operator="equal" dxfId="4">
      <formula>"D"</formula>
    </cfRule>
  </conditionalFormatting>
  <conditionalFormatting sqref="M51:M65">
    <cfRule type="cellIs" priority="16" operator="equal" dxfId="0">
      <formula>"S"</formula>
    </cfRule>
    <cfRule type="cellIs" priority="17" operator="equal" dxfId="1">
      <formula>"A"</formula>
    </cfRule>
    <cfRule type="cellIs" priority="18" operator="equal" dxfId="2">
      <formula>"B"</formula>
    </cfRule>
    <cfRule type="cellIs" priority="19" operator="equal" dxfId="3">
      <formula>"C"</formula>
    </cfRule>
    <cfRule type="cellIs" priority="20" operator="equal" dxfId="4">
      <formula>"D"</formula>
    </cfRule>
  </conditionalFormatting>
  <dataValidations count="3">
    <dataValidation sqref="C7:C21 D7:D21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29:D43 F29:G43 I29:J43 L29:M43 O29:P43" showDropDown="0" showInputMessage="0" showErrorMessage="0" allowBlank="0" errorTitle="정수 입력 필요" error="0 이상의 정수(건수)를 입력해주세요." type="whole" operator="greaterThanOrEqual">
      <formula1>0</formula1>
    </dataValidation>
    <dataValidation sqref="C51:G65" showDropDown="0" showInputMessage="0" showErrorMessage="0" allowBlank="0" errorTitle="점수 범위 오류" error="0~6 사이의 정수로 입력해주세요." type="whole" operator="between">
      <formula1>0</formula1>
      <formula2>6</formula2>
    </dataValidation>
  </dataValidation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5" t="inlineStr">
        <is>
          <t>🏠 사용안내로 이동</t>
        </is>
      </c>
    </row>
    <row r="2">
      <c r="A2" s="24" t="inlineStr">
        <is>
          <t>📐 등급 컷오프 및 보상 매핑 기준</t>
        </is>
      </c>
    </row>
    <row r="4">
      <c r="A4" s="2" t="inlineStr">
        <is>
          <t>결과지표 (50점 만점)</t>
        </is>
      </c>
    </row>
    <row r="5">
      <c r="A5" s="38" t="inlineStr">
        <is>
          <t>등급</t>
        </is>
      </c>
      <c r="B5" s="38" t="inlineStr">
        <is>
          <t>기준</t>
        </is>
      </c>
      <c r="C5" s="11" t="n"/>
      <c r="D5" s="11" t="n"/>
      <c r="E5" s="11" t="n"/>
      <c r="F5" s="12" t="n"/>
    </row>
    <row r="6">
      <c r="A6" s="41" t="inlineStr">
        <is>
          <t>S</t>
        </is>
      </c>
      <c r="B6" s="65" t="inlineStr">
        <is>
          <t>48점 이상</t>
        </is>
      </c>
    </row>
    <row r="7">
      <c r="A7" s="43" t="inlineStr">
        <is>
          <t>A</t>
        </is>
      </c>
      <c r="B7" s="66" t="inlineStr">
        <is>
          <t>45~47.9점</t>
        </is>
      </c>
    </row>
    <row r="8">
      <c r="A8" s="45" t="inlineStr">
        <is>
          <t>B</t>
        </is>
      </c>
      <c r="B8" s="67" t="inlineStr">
        <is>
          <t>42~44.9점</t>
        </is>
      </c>
    </row>
    <row r="9">
      <c r="A9" s="47" t="inlineStr">
        <is>
          <t>C</t>
        </is>
      </c>
      <c r="B9" s="68" t="inlineStr">
        <is>
          <t>38~41.9점</t>
        </is>
      </c>
    </row>
    <row r="10">
      <c r="A10" s="49" t="inlineStr">
        <is>
          <t>D</t>
        </is>
      </c>
      <c r="B10" s="69" t="inlineStr">
        <is>
          <t>38점 미만</t>
        </is>
      </c>
    </row>
    <row r="12">
      <c r="A12" s="2" t="inlineStr">
        <is>
          <t>개별성과 (20점 만점)</t>
        </is>
      </c>
    </row>
    <row r="13">
      <c r="A13" s="38" t="inlineStr">
        <is>
          <t>등급</t>
        </is>
      </c>
      <c r="B13" s="38" t="inlineStr">
        <is>
          <t>기준</t>
        </is>
      </c>
      <c r="C13" s="11" t="n"/>
      <c r="D13" s="11" t="n"/>
      <c r="E13" s="11" t="n"/>
      <c r="F13" s="12" t="n"/>
    </row>
    <row r="14">
      <c r="A14" s="41" t="inlineStr">
        <is>
          <t>S</t>
        </is>
      </c>
      <c r="B14" s="65" t="inlineStr">
        <is>
          <t>18점 이상</t>
        </is>
      </c>
    </row>
    <row r="15">
      <c r="A15" s="43" t="inlineStr">
        <is>
          <t>A</t>
        </is>
      </c>
      <c r="B15" s="66" t="inlineStr">
        <is>
          <t>16~17.9점</t>
        </is>
      </c>
    </row>
    <row r="16">
      <c r="A16" s="45" t="inlineStr">
        <is>
          <t>B</t>
        </is>
      </c>
      <c r="B16" s="67" t="inlineStr">
        <is>
          <t>14~15.9점</t>
        </is>
      </c>
    </row>
    <row r="17">
      <c r="A17" s="47" t="inlineStr">
        <is>
          <t>C</t>
        </is>
      </c>
      <c r="B17" s="68" t="inlineStr">
        <is>
          <t>11~13.9점</t>
        </is>
      </c>
    </row>
    <row r="18">
      <c r="A18" s="49" t="inlineStr">
        <is>
          <t>D</t>
        </is>
      </c>
      <c r="B18" s="69" t="inlineStr">
        <is>
          <t>11점 미만</t>
        </is>
      </c>
    </row>
    <row r="20">
      <c r="A20" s="2" t="inlineStr">
        <is>
          <t>역량평가 (30점 만점)</t>
        </is>
      </c>
    </row>
    <row r="21">
      <c r="A21" s="38" t="inlineStr">
        <is>
          <t>등급</t>
        </is>
      </c>
      <c r="B21" s="38" t="inlineStr">
        <is>
          <t>기준</t>
        </is>
      </c>
      <c r="C21" s="11" t="n"/>
      <c r="D21" s="11" t="n"/>
      <c r="E21" s="11" t="n"/>
      <c r="F21" s="12" t="n"/>
    </row>
    <row r="22">
      <c r="A22" s="41" t="inlineStr">
        <is>
          <t>S</t>
        </is>
      </c>
      <c r="B22" s="65" t="inlineStr">
        <is>
          <t>27점 이상</t>
        </is>
      </c>
    </row>
    <row r="23">
      <c r="A23" s="43" t="inlineStr">
        <is>
          <t>A</t>
        </is>
      </c>
      <c r="B23" s="66" t="inlineStr">
        <is>
          <t>24~26.9점</t>
        </is>
      </c>
    </row>
    <row r="24">
      <c r="A24" s="45" t="inlineStr">
        <is>
          <t>B</t>
        </is>
      </c>
      <c r="B24" s="67" t="inlineStr">
        <is>
          <t>21~23.9점</t>
        </is>
      </c>
    </row>
    <row r="25">
      <c r="A25" s="47" t="inlineStr">
        <is>
          <t>C</t>
        </is>
      </c>
      <c r="B25" s="68" t="inlineStr">
        <is>
          <t>18~20.9점</t>
        </is>
      </c>
    </row>
    <row r="26">
      <c r="A26" s="49" t="inlineStr">
        <is>
          <t>D</t>
        </is>
      </c>
      <c r="B26" s="69" t="inlineStr">
        <is>
          <t>18점 미만</t>
        </is>
      </c>
    </row>
    <row r="28">
      <c r="A28" s="2" t="inlineStr">
        <is>
          <t>종합점수 (100점 만점)</t>
        </is>
      </c>
    </row>
    <row r="29">
      <c r="A29" s="38" t="inlineStr">
        <is>
          <t>등급</t>
        </is>
      </c>
      <c r="B29" s="38" t="inlineStr">
        <is>
          <t>기준</t>
        </is>
      </c>
      <c r="C29" s="11" t="n"/>
      <c r="D29" s="11" t="n"/>
      <c r="E29" s="11" t="n"/>
      <c r="F29" s="12" t="n"/>
    </row>
    <row r="30">
      <c r="A30" s="41" t="inlineStr">
        <is>
          <t>S</t>
        </is>
      </c>
      <c r="B30" s="65" t="inlineStr">
        <is>
          <t>90점 이상</t>
        </is>
      </c>
    </row>
    <row r="31">
      <c r="A31" s="43" t="inlineStr">
        <is>
          <t>A</t>
        </is>
      </c>
      <c r="B31" s="66" t="inlineStr">
        <is>
          <t>82~89.9점</t>
        </is>
      </c>
    </row>
    <row r="32">
      <c r="A32" s="45" t="inlineStr">
        <is>
          <t>B</t>
        </is>
      </c>
      <c r="B32" s="67" t="inlineStr">
        <is>
          <t>70~81.9점</t>
        </is>
      </c>
    </row>
    <row r="33">
      <c r="A33" s="47" t="inlineStr">
        <is>
          <t>C</t>
        </is>
      </c>
      <c r="B33" s="68" t="inlineStr">
        <is>
          <t>60~69.9점</t>
        </is>
      </c>
    </row>
    <row r="34">
      <c r="A34" s="49" t="inlineStr">
        <is>
          <t>D</t>
        </is>
      </c>
      <c r="B34" s="69" t="inlineStr">
        <is>
          <t>60점 미만</t>
        </is>
      </c>
    </row>
    <row r="36">
      <c r="A36" s="2" t="inlineStr">
        <is>
          <t>보상 매핑 (종합등급 기준)</t>
        </is>
      </c>
    </row>
    <row r="37">
      <c r="A37" s="41" t="inlineStr">
        <is>
          <t>S</t>
        </is>
      </c>
      <c r="B37" s="65" t="inlineStr">
        <is>
          <t>특별성과급 (연봉의 15%) + 연봉 인상 10%</t>
        </is>
      </c>
    </row>
    <row r="38">
      <c r="A38" s="43" t="inlineStr">
        <is>
          <t>A</t>
        </is>
      </c>
      <c r="B38" s="66" t="inlineStr">
        <is>
          <t>성과급 (연봉의 10%) + 연봉 인상 7%</t>
        </is>
      </c>
    </row>
    <row r="39">
      <c r="A39" s="45" t="inlineStr">
        <is>
          <t>B</t>
        </is>
      </c>
      <c r="B39" s="67" t="inlineStr">
        <is>
          <t>연봉 인상 3% (물가인상률 보전)</t>
        </is>
      </c>
    </row>
    <row r="40">
      <c r="A40" s="47" t="inlineStr">
        <is>
          <t>C</t>
        </is>
      </c>
      <c r="B40" s="68" t="inlineStr">
        <is>
          <t>동결 (PIP 대상)</t>
        </is>
      </c>
    </row>
    <row r="41">
      <c r="A41" s="49" t="inlineStr">
        <is>
          <t>D</t>
        </is>
      </c>
      <c r="B41" s="69" t="inlineStr">
        <is>
          <t>동결 (경고 및 보직조정)</t>
        </is>
      </c>
    </row>
    <row r="43">
      <c r="A43" s="2" t="inlineStr">
        <is>
          <t>Research / PS 개별성과 고정 항목 (대표이사 원칙 반영)</t>
        </is>
      </c>
    </row>
    <row r="44">
      <c r="A44" s="13" t="inlineStr">
        <is>
          <t>Research</t>
        </is>
      </c>
      <c r="B44" s="15" t="inlineStr">
        <is>
          <t>1. Capability Gap 발굴 &amp; Technical Advancement — [대표 원칙 고정] 신규 리서치 문제 정의 건수 + 벤치마크 성능 개선 건수를 합산 관리</t>
        </is>
      </c>
    </row>
    <row r="45">
      <c r="A45" s="13" t="inlineStr">
        <is>
          <t>Research</t>
        </is>
      </c>
      <c r="B45" s="15" t="inlineStr">
        <is>
          <t>2. Rigorous Validation &amp; Transfer/Adoption — [대표 원칙 고정] 재현 가능한 검증 리포트 건수 + PS/PB/Solver/OCP 이관 완료 건수</t>
        </is>
      </c>
    </row>
    <row r="46">
      <c r="A46" s="13" t="inlineStr">
        <is>
          <t>PS</t>
        </is>
      </c>
      <c r="B46" s="15" t="inlineStr">
        <is>
          <t>1. Problem Definition &amp; Solution Quality — [대표 원칙 고정] 고객 문제정의서·솔루션 설계서 작성 및 내부 승인 완료 건수</t>
        </is>
      </c>
    </row>
    <row r="47">
      <c r="A47" s="13" t="inlineStr">
        <is>
          <t>PS</t>
        </is>
      </c>
      <c r="B47" s="15" t="inlineStr">
        <is>
          <t>2. Business Impact &amp; Adoption — [대표 원칙 고정] 고객 운영 반영(PoC→정식 도입) 및 성과 측정 보고 완료 건수</t>
        </is>
      </c>
    </row>
  </sheetData>
  <mergeCells count="41">
    <mergeCell ref="B7:F7"/>
    <mergeCell ref="B47:F47"/>
    <mergeCell ref="B16:F16"/>
    <mergeCell ref="B25:F25"/>
    <mergeCell ref="B31:F31"/>
    <mergeCell ref="B46:F46"/>
    <mergeCell ref="A12:F12"/>
    <mergeCell ref="B22:F22"/>
    <mergeCell ref="B18:F18"/>
    <mergeCell ref="B21:F21"/>
    <mergeCell ref="A2:F2"/>
    <mergeCell ref="B39:F39"/>
    <mergeCell ref="B23:F23"/>
    <mergeCell ref="A4:F4"/>
    <mergeCell ref="B14:F14"/>
    <mergeCell ref="B8:F8"/>
    <mergeCell ref="A20:F20"/>
    <mergeCell ref="B17:F17"/>
    <mergeCell ref="B13:F13"/>
    <mergeCell ref="A43:F43"/>
    <mergeCell ref="B44:F44"/>
    <mergeCell ref="B29:F29"/>
    <mergeCell ref="A28:F28"/>
    <mergeCell ref="B38:F38"/>
    <mergeCell ref="B34:F34"/>
    <mergeCell ref="B10:F10"/>
    <mergeCell ref="B37:F37"/>
    <mergeCell ref="B40:F40"/>
    <mergeCell ref="B9:F9"/>
    <mergeCell ref="B30:F30"/>
    <mergeCell ref="B6:F6"/>
    <mergeCell ref="B24:F24"/>
    <mergeCell ref="A36:F36"/>
    <mergeCell ref="B15:F15"/>
    <mergeCell ref="B33:F33"/>
    <mergeCell ref="A1:F1"/>
    <mergeCell ref="B5:F5"/>
    <mergeCell ref="B45:F45"/>
    <mergeCell ref="B32:F32"/>
    <mergeCell ref="B26:F26"/>
    <mergeCell ref="B41:F4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2026-09-15T03:34:06Z</dcterms:created>
  <dcterms:modified xmlns:dcterms="http://purl.org/dc/terms/" xmlns:xsi="http://www.w3.org/2001/XMLSchema-instance" xsi:type="dcterms:W3CDTF">2026-09-15T03:34:06Z</dcterms:modified>
</cp:coreProperties>
</file>